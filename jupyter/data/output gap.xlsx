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NYU\teaching\2025-26 fall - intermediate macroeconomics\python\data\"/>
    </mc:Choice>
  </mc:AlternateContent>
  <xr:revisionPtr revIDLastSave="0" documentId="13_ncr:1_{588AF57D-9AB2-40B2-8A77-262E69FBDD76}" xr6:coauthVersionLast="36" xr6:coauthVersionMax="36" xr10:uidLastSave="{00000000-0000-0000-0000-000000000000}"/>
  <bookViews>
    <workbookView xWindow="0" yWindow="72" windowWidth="11760" windowHeight="8016" activeTab="2" xr2:uid="{00000000-000D-0000-FFFF-FFFF00000000}"/>
  </bookViews>
  <sheets>
    <sheet name="data 2017 USD" sheetId="5" r:id="rId1"/>
    <sheet name="data 2012 USD" sheetId="6" r:id="rId2"/>
    <sheet name="raw data" sheetId="8" r:id="rId3"/>
    <sheet name="old raw data 2009-2012 USD" sheetId="4" r:id="rId4"/>
    <sheet name="FRED Graph" sheetId="1" r:id="rId5"/>
    <sheet name="graph" sheetId="2" r:id="rId6"/>
    <sheet name="graph 2" sheetId="3" r:id="rId7"/>
  </sheets>
  <definedNames>
    <definedName name="deflator_2012_2009">'raw data'!$U$5</definedName>
    <definedName name="deflator_2017_2009">'raw data'!$U$6</definedName>
    <definedName name="deflator_2017_2012">'raw data'!$U$7</definedName>
  </definedNames>
  <calcPr calcId="191029"/>
</workbook>
</file>

<file path=xl/calcChain.xml><?xml version="1.0" encoding="utf-8"?>
<calcChain xmlns="http://schemas.openxmlformats.org/spreadsheetml/2006/main">
  <c r="M145" i="5" l="1"/>
  <c r="M144" i="5"/>
  <c r="M143" i="5"/>
  <c r="M142" i="5"/>
  <c r="L103" i="5"/>
  <c r="L102" i="5"/>
  <c r="L101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  <c r="J2" i="6" l="1"/>
  <c r="E103" i="6" s="1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U5" i="8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Q2" i="5"/>
  <c r="I116" i="5" s="1"/>
  <c r="P2" i="5"/>
  <c r="F2" i="5" s="1"/>
  <c r="U7" i="8"/>
  <c r="U6" i="8"/>
  <c r="D26" i="6" l="1"/>
  <c r="G28" i="6"/>
  <c r="B32" i="6"/>
  <c r="E35" i="6"/>
  <c r="C41" i="6"/>
  <c r="G44" i="6"/>
  <c r="D50" i="6"/>
  <c r="G52" i="6"/>
  <c r="C57" i="6"/>
  <c r="G60" i="6"/>
  <c r="G68" i="6"/>
  <c r="G79" i="6"/>
  <c r="E104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C24" i="6"/>
  <c r="D25" i="6"/>
  <c r="E26" i="6"/>
  <c r="G27" i="6"/>
  <c r="B31" i="6"/>
  <c r="C32" i="6"/>
  <c r="D33" i="6"/>
  <c r="E34" i="6"/>
  <c r="G35" i="6"/>
  <c r="B39" i="6"/>
  <c r="C40" i="6"/>
  <c r="D41" i="6"/>
  <c r="E42" i="6"/>
  <c r="G43" i="6"/>
  <c r="B47" i="6"/>
  <c r="C48" i="6"/>
  <c r="D49" i="6"/>
  <c r="E50" i="6"/>
  <c r="G51" i="6"/>
  <c r="B55" i="6"/>
  <c r="C56" i="6"/>
  <c r="D57" i="6"/>
  <c r="E58" i="6"/>
  <c r="G59" i="6"/>
  <c r="D62" i="6"/>
  <c r="G63" i="6"/>
  <c r="E65" i="6"/>
  <c r="C67" i="6"/>
  <c r="E75" i="6"/>
  <c r="G77" i="6"/>
  <c r="E100" i="6"/>
  <c r="B25" i="6"/>
  <c r="C26" i="6"/>
  <c r="E28" i="6"/>
  <c r="B33" i="6"/>
  <c r="C34" i="6"/>
  <c r="E36" i="6"/>
  <c r="B41" i="6"/>
  <c r="D43" i="6"/>
  <c r="G45" i="6"/>
  <c r="C50" i="6"/>
  <c r="E52" i="6"/>
  <c r="B57" i="6"/>
  <c r="D59" i="6"/>
  <c r="F68" i="6"/>
  <c r="G72" i="6"/>
  <c r="E82" i="6"/>
  <c r="E91" i="6"/>
  <c r="C25" i="6"/>
  <c r="E27" i="6"/>
  <c r="C33" i="6"/>
  <c r="G36" i="6"/>
  <c r="B40" i="6"/>
  <c r="E43" i="6"/>
  <c r="C49" i="6"/>
  <c r="E51" i="6"/>
  <c r="B56" i="6"/>
  <c r="D58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D24" i="6"/>
  <c r="E25" i="6"/>
  <c r="G26" i="6"/>
  <c r="B30" i="6"/>
  <c r="C31" i="6"/>
  <c r="D32" i="6"/>
  <c r="E33" i="6"/>
  <c r="G34" i="6"/>
  <c r="B38" i="6"/>
  <c r="C39" i="6"/>
  <c r="D40" i="6"/>
  <c r="E41" i="6"/>
  <c r="G42" i="6"/>
  <c r="B46" i="6"/>
  <c r="C47" i="6"/>
  <c r="D48" i="6"/>
  <c r="E49" i="6"/>
  <c r="G50" i="6"/>
  <c r="B54" i="6"/>
  <c r="C55" i="6"/>
  <c r="D56" i="6"/>
  <c r="E57" i="6"/>
  <c r="G58" i="6"/>
  <c r="E62" i="6"/>
  <c r="E67" i="6"/>
  <c r="E73" i="6"/>
  <c r="G75" i="6"/>
  <c r="E83" i="6"/>
  <c r="E92" i="6"/>
  <c r="E96" i="6"/>
  <c r="E105" i="6"/>
  <c r="D27" i="6"/>
  <c r="G29" i="6"/>
  <c r="D35" i="6"/>
  <c r="G37" i="6"/>
  <c r="C42" i="6"/>
  <c r="E44" i="6"/>
  <c r="B49" i="6"/>
  <c r="D51" i="6"/>
  <c r="G53" i="6"/>
  <c r="C58" i="6"/>
  <c r="E60" i="6"/>
  <c r="E63" i="6"/>
  <c r="E70" i="6"/>
  <c r="E79" i="6"/>
  <c r="B24" i="6"/>
  <c r="D34" i="6"/>
  <c r="D42" i="6"/>
  <c r="B48" i="6"/>
  <c r="E59" i="6"/>
  <c r="F63" i="6"/>
  <c r="G70" i="6"/>
  <c r="E77" i="6"/>
  <c r="E85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E24" i="6"/>
  <c r="G25" i="6"/>
  <c r="B29" i="6"/>
  <c r="C30" i="6"/>
  <c r="D31" i="6"/>
  <c r="E32" i="6"/>
  <c r="G33" i="6"/>
  <c r="B37" i="6"/>
  <c r="C38" i="6"/>
  <c r="D39" i="6"/>
  <c r="E40" i="6"/>
  <c r="G41" i="6"/>
  <c r="B45" i="6"/>
  <c r="C46" i="6"/>
  <c r="D47" i="6"/>
  <c r="E48" i="6"/>
  <c r="G49" i="6"/>
  <c r="B53" i="6"/>
  <c r="C54" i="6"/>
  <c r="D55" i="6"/>
  <c r="E56" i="6"/>
  <c r="G57" i="6"/>
  <c r="C61" i="6"/>
  <c r="F62" i="6"/>
  <c r="F67" i="6"/>
  <c r="E69" i="6"/>
  <c r="G71" i="6"/>
  <c r="G73" i="6"/>
  <c r="E101" i="6"/>
  <c r="E97" i="6"/>
  <c r="E11" i="6"/>
  <c r="E12" i="6"/>
  <c r="E13" i="6"/>
  <c r="E15" i="6"/>
  <c r="E16" i="6"/>
  <c r="E18" i="6"/>
  <c r="E19" i="6"/>
  <c r="E20" i="6"/>
  <c r="E22" i="6"/>
  <c r="E23" i="6"/>
  <c r="G24" i="6"/>
  <c r="B28" i="6"/>
  <c r="C29" i="6"/>
  <c r="E31" i="6"/>
  <c r="G32" i="6"/>
  <c r="B36" i="6"/>
  <c r="C37" i="6"/>
  <c r="D38" i="6"/>
  <c r="G40" i="6"/>
  <c r="C45" i="6"/>
  <c r="D46" i="6"/>
  <c r="E47" i="6"/>
  <c r="B52" i="6"/>
  <c r="C53" i="6"/>
  <c r="E55" i="6"/>
  <c r="G56" i="6"/>
  <c r="B60" i="6"/>
  <c r="G62" i="6"/>
  <c r="C64" i="6"/>
  <c r="G67" i="6"/>
  <c r="G78" i="6"/>
  <c r="E90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9" i="6"/>
  <c r="F20" i="6"/>
  <c r="F21" i="6"/>
  <c r="F22" i="6"/>
  <c r="G23" i="6"/>
  <c r="B27" i="6"/>
  <c r="C28" i="6"/>
  <c r="D29" i="6"/>
  <c r="E30" i="6"/>
  <c r="G31" i="6"/>
  <c r="B35" i="6"/>
  <c r="C36" i="6"/>
  <c r="D37" i="6"/>
  <c r="E38" i="6"/>
  <c r="G39" i="6"/>
  <c r="B43" i="6"/>
  <c r="C44" i="6"/>
  <c r="D45" i="6"/>
  <c r="E46" i="6"/>
  <c r="G47" i="6"/>
  <c r="B51" i="6"/>
  <c r="C52" i="6"/>
  <c r="D53" i="6"/>
  <c r="E54" i="6"/>
  <c r="G55" i="6"/>
  <c r="B59" i="6"/>
  <c r="C60" i="6"/>
  <c r="E61" i="6"/>
  <c r="F64" i="6"/>
  <c r="E66" i="6"/>
  <c r="G76" i="6"/>
  <c r="E84" i="6"/>
  <c r="E87" i="6"/>
  <c r="E93" i="6"/>
  <c r="E102" i="6"/>
  <c r="E2" i="6"/>
  <c r="E3" i="6"/>
  <c r="E4" i="6"/>
  <c r="E5" i="6"/>
  <c r="E6" i="6"/>
  <c r="E7" i="6"/>
  <c r="E8" i="6"/>
  <c r="E9" i="6"/>
  <c r="E10" i="6"/>
  <c r="E14" i="6"/>
  <c r="E17" i="6"/>
  <c r="E21" i="6"/>
  <c r="D30" i="6"/>
  <c r="E39" i="6"/>
  <c r="B44" i="6"/>
  <c r="G48" i="6"/>
  <c r="D54" i="6"/>
  <c r="D61" i="6"/>
  <c r="C66" i="6"/>
  <c r="F2" i="6"/>
  <c r="F18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B26" i="6"/>
  <c r="C27" i="6"/>
  <c r="D28" i="6"/>
  <c r="E29" i="6"/>
  <c r="G30" i="6"/>
  <c r="B34" i="6"/>
  <c r="C35" i="6"/>
  <c r="D36" i="6"/>
  <c r="E37" i="6"/>
  <c r="G38" i="6"/>
  <c r="B42" i="6"/>
  <c r="C43" i="6"/>
  <c r="D44" i="6"/>
  <c r="E45" i="6"/>
  <c r="G46" i="6"/>
  <c r="B50" i="6"/>
  <c r="C51" i="6"/>
  <c r="D52" i="6"/>
  <c r="E53" i="6"/>
  <c r="G54" i="6"/>
  <c r="B58" i="6"/>
  <c r="C59" i="6"/>
  <c r="D60" i="6"/>
  <c r="F61" i="6"/>
  <c r="G64" i="6"/>
  <c r="G66" i="6"/>
  <c r="C70" i="6"/>
  <c r="C72" i="6"/>
  <c r="G74" i="6"/>
  <c r="E98" i="6"/>
  <c r="E94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G61" i="6"/>
  <c r="C65" i="6"/>
  <c r="F66" i="6"/>
  <c r="C69" i="6"/>
  <c r="E72" i="6"/>
  <c r="E74" i="6"/>
  <c r="E76" i="6"/>
  <c r="E78" i="6"/>
  <c r="E80" i="6"/>
  <c r="E88" i="6"/>
  <c r="I8" i="5"/>
  <c r="C63" i="6"/>
  <c r="D64" i="6"/>
  <c r="F65" i="6"/>
  <c r="C68" i="6"/>
  <c r="G69" i="6"/>
  <c r="C71" i="6"/>
  <c r="E86" i="6"/>
  <c r="H45" i="5"/>
  <c r="C62" i="6"/>
  <c r="D63" i="6"/>
  <c r="E64" i="6"/>
  <c r="G65" i="6"/>
  <c r="E68" i="6"/>
  <c r="E71" i="6"/>
  <c r="E81" i="6"/>
  <c r="E89" i="6"/>
  <c r="E95" i="6"/>
  <c r="E99" i="6"/>
  <c r="H13" i="5"/>
  <c r="I49" i="5"/>
  <c r="I17" i="5"/>
  <c r="H54" i="5"/>
  <c r="H22" i="5"/>
  <c r="I58" i="5"/>
  <c r="I26" i="5"/>
  <c r="H63" i="5"/>
  <c r="H31" i="5"/>
  <c r="H77" i="5"/>
  <c r="H36" i="5"/>
  <c r="H4" i="5"/>
  <c r="I40" i="5"/>
  <c r="E101" i="5"/>
  <c r="E93" i="5"/>
  <c r="E85" i="5"/>
  <c r="G78" i="5"/>
  <c r="G74" i="5"/>
  <c r="E71" i="5"/>
  <c r="G68" i="5"/>
  <c r="G66" i="5"/>
  <c r="G64" i="5"/>
  <c r="D63" i="5"/>
  <c r="F61" i="5"/>
  <c r="C60" i="5"/>
  <c r="G58" i="5"/>
  <c r="E57" i="5"/>
  <c r="C56" i="5"/>
  <c r="G54" i="5"/>
  <c r="E53" i="5"/>
  <c r="C52" i="5"/>
  <c r="G50" i="5"/>
  <c r="E49" i="5"/>
  <c r="C48" i="5"/>
  <c r="G46" i="5"/>
  <c r="E45" i="5"/>
  <c r="C44" i="5"/>
  <c r="G42" i="5"/>
  <c r="E41" i="5"/>
  <c r="C40" i="5"/>
  <c r="G38" i="5"/>
  <c r="E37" i="5"/>
  <c r="C36" i="5"/>
  <c r="G34" i="5"/>
  <c r="E33" i="5"/>
  <c r="C32" i="5"/>
  <c r="G30" i="5"/>
  <c r="E29" i="5"/>
  <c r="C28" i="5"/>
  <c r="G26" i="5"/>
  <c r="E25" i="5"/>
  <c r="C24" i="5"/>
  <c r="G22" i="5"/>
  <c r="E21" i="5"/>
  <c r="C20" i="5"/>
  <c r="G18" i="5"/>
  <c r="E17" i="5"/>
  <c r="C16" i="5"/>
  <c r="G14" i="5"/>
  <c r="E13" i="5"/>
  <c r="C12" i="5"/>
  <c r="G10" i="5"/>
  <c r="E9" i="5"/>
  <c r="C8" i="5"/>
  <c r="G6" i="5"/>
  <c r="E5" i="5"/>
  <c r="C4" i="5"/>
  <c r="G2" i="5"/>
  <c r="E97" i="5"/>
  <c r="E88" i="5"/>
  <c r="G79" i="5"/>
  <c r="E75" i="5"/>
  <c r="C71" i="5"/>
  <c r="E68" i="5"/>
  <c r="C66" i="5"/>
  <c r="C64" i="5"/>
  <c r="D62" i="5"/>
  <c r="E60" i="5"/>
  <c r="B59" i="5"/>
  <c r="D57" i="5"/>
  <c r="G55" i="5"/>
  <c r="D54" i="5"/>
  <c r="G52" i="5"/>
  <c r="D51" i="5"/>
  <c r="G49" i="5"/>
  <c r="D48" i="5"/>
  <c r="F46" i="5"/>
  <c r="C45" i="5"/>
  <c r="F43" i="5"/>
  <c r="C42" i="5"/>
  <c r="F40" i="5"/>
  <c r="C39" i="5"/>
  <c r="F37" i="5"/>
  <c r="B36" i="5"/>
  <c r="E34" i="5"/>
  <c r="B33" i="5"/>
  <c r="E31" i="5"/>
  <c r="B30" i="5"/>
  <c r="E28" i="5"/>
  <c r="B27" i="5"/>
  <c r="D25" i="5"/>
  <c r="G23" i="5"/>
  <c r="D22" i="5"/>
  <c r="G20" i="5"/>
  <c r="D19" i="5"/>
  <c r="G17" i="5"/>
  <c r="D16" i="5"/>
  <c r="F14" i="5"/>
  <c r="C13" i="5"/>
  <c r="F11" i="5"/>
  <c r="C10" i="5"/>
  <c r="F8" i="5"/>
  <c r="C7" i="5"/>
  <c r="F5" i="5"/>
  <c r="B4" i="5"/>
  <c r="E2" i="5"/>
  <c r="E105" i="5"/>
  <c r="E96" i="5"/>
  <c r="E87" i="5"/>
  <c r="E79" i="5"/>
  <c r="E74" i="5"/>
  <c r="G70" i="5"/>
  <c r="C68" i="5"/>
  <c r="G65" i="5"/>
  <c r="G63" i="5"/>
  <c r="C62" i="5"/>
  <c r="D60" i="5"/>
  <c r="F58" i="5"/>
  <c r="C57" i="5"/>
  <c r="F55" i="5"/>
  <c r="C54" i="5"/>
  <c r="F52" i="5"/>
  <c r="C51" i="5"/>
  <c r="F49" i="5"/>
  <c r="B48" i="5"/>
  <c r="E46" i="5"/>
  <c r="B45" i="5"/>
  <c r="E43" i="5"/>
  <c r="B42" i="5"/>
  <c r="E40" i="5"/>
  <c r="B39" i="5"/>
  <c r="D37" i="5"/>
  <c r="G35" i="5"/>
  <c r="D34" i="5"/>
  <c r="G32" i="5"/>
  <c r="D31" i="5"/>
  <c r="G29" i="5"/>
  <c r="D28" i="5"/>
  <c r="F26" i="5"/>
  <c r="C25" i="5"/>
  <c r="F23" i="5"/>
  <c r="C22" i="5"/>
  <c r="F20" i="5"/>
  <c r="C19" i="5"/>
  <c r="F17" i="5"/>
  <c r="B16" i="5"/>
  <c r="E14" i="5"/>
  <c r="B13" i="5"/>
  <c r="E11" i="5"/>
  <c r="B10" i="5"/>
  <c r="E8" i="5"/>
  <c r="B7" i="5"/>
  <c r="D5" i="5"/>
  <c r="G3" i="5"/>
  <c r="D2" i="5"/>
  <c r="E104" i="5"/>
  <c r="E95" i="5"/>
  <c r="E86" i="5"/>
  <c r="E78" i="5"/>
  <c r="G73" i="5"/>
  <c r="E70" i="5"/>
  <c r="G67" i="5"/>
  <c r="F65" i="5"/>
  <c r="F63" i="5"/>
  <c r="G61" i="5"/>
  <c r="B60" i="5"/>
  <c r="E58" i="5"/>
  <c r="B57" i="5"/>
  <c r="E55" i="5"/>
  <c r="B54" i="5"/>
  <c r="E52" i="5"/>
  <c r="B51" i="5"/>
  <c r="D49" i="5"/>
  <c r="G47" i="5"/>
  <c r="D46" i="5"/>
  <c r="G44" i="5"/>
  <c r="D43" i="5"/>
  <c r="G41" i="5"/>
  <c r="D40" i="5"/>
  <c r="F38" i="5"/>
  <c r="C37" i="5"/>
  <c r="F35" i="5"/>
  <c r="C34" i="5"/>
  <c r="F32" i="5"/>
  <c r="C31" i="5"/>
  <c r="F29" i="5"/>
  <c r="B28" i="5"/>
  <c r="E26" i="5"/>
  <c r="B25" i="5"/>
  <c r="E23" i="5"/>
  <c r="B22" i="5"/>
  <c r="E20" i="5"/>
  <c r="B19" i="5"/>
  <c r="D17" i="5"/>
  <c r="G15" i="5"/>
  <c r="D14" i="5"/>
  <c r="G12" i="5"/>
  <c r="D11" i="5"/>
  <c r="G9" i="5"/>
  <c r="D8" i="5"/>
  <c r="F6" i="5"/>
  <c r="C5" i="5"/>
  <c r="F3" i="5"/>
  <c r="C2" i="5"/>
  <c r="E103" i="5"/>
  <c r="E94" i="5"/>
  <c r="E84" i="5"/>
  <c r="G77" i="5"/>
  <c r="E73" i="5"/>
  <c r="C70" i="5"/>
  <c r="F67" i="5"/>
  <c r="E65" i="5"/>
  <c r="E63" i="5"/>
  <c r="E61" i="5"/>
  <c r="G59" i="5"/>
  <c r="D58" i="5"/>
  <c r="G56" i="5"/>
  <c r="D55" i="5"/>
  <c r="G53" i="5"/>
  <c r="D52" i="5"/>
  <c r="F50" i="5"/>
  <c r="C49" i="5"/>
  <c r="F47" i="5"/>
  <c r="C46" i="5"/>
  <c r="F44" i="5"/>
  <c r="C43" i="5"/>
  <c r="F41" i="5"/>
  <c r="B40" i="5"/>
  <c r="E38" i="5"/>
  <c r="B37" i="5"/>
  <c r="E35" i="5"/>
  <c r="B34" i="5"/>
  <c r="E32" i="5"/>
  <c r="B31" i="5"/>
  <c r="D29" i="5"/>
  <c r="G27" i="5"/>
  <c r="D26" i="5"/>
  <c r="G24" i="5"/>
  <c r="D23" i="5"/>
  <c r="G21" i="5"/>
  <c r="D20" i="5"/>
  <c r="F18" i="5"/>
  <c r="C17" i="5"/>
  <c r="F15" i="5"/>
  <c r="C14" i="5"/>
  <c r="F12" i="5"/>
  <c r="C11" i="5"/>
  <c r="F9" i="5"/>
  <c r="B8" i="5"/>
  <c r="E6" i="5"/>
  <c r="B5" i="5"/>
  <c r="E3" i="5"/>
  <c r="B2" i="5"/>
  <c r="E102" i="5"/>
  <c r="E92" i="5"/>
  <c r="E83" i="5"/>
  <c r="E77" i="5"/>
  <c r="G72" i="5"/>
  <c r="G69" i="5"/>
  <c r="E67" i="5"/>
  <c r="C65" i="5"/>
  <c r="C63" i="5"/>
  <c r="D61" i="5"/>
  <c r="F59" i="5"/>
  <c r="C58" i="5"/>
  <c r="F56" i="5"/>
  <c r="C55" i="5"/>
  <c r="F53" i="5"/>
  <c r="B52" i="5"/>
  <c r="E50" i="5"/>
  <c r="B49" i="5"/>
  <c r="E47" i="5"/>
  <c r="B46" i="5"/>
  <c r="E44" i="5"/>
  <c r="B43" i="5"/>
  <c r="D41" i="5"/>
  <c r="G39" i="5"/>
  <c r="D38" i="5"/>
  <c r="G36" i="5"/>
  <c r="D35" i="5"/>
  <c r="G33" i="5"/>
  <c r="D32" i="5"/>
  <c r="F30" i="5"/>
  <c r="C29" i="5"/>
  <c r="F27" i="5"/>
  <c r="C26" i="5"/>
  <c r="F24" i="5"/>
  <c r="C23" i="5"/>
  <c r="F21" i="5"/>
  <c r="B20" i="5"/>
  <c r="E18" i="5"/>
  <c r="B17" i="5"/>
  <c r="E15" i="5"/>
  <c r="B14" i="5"/>
  <c r="E12" i="5"/>
  <c r="B11" i="5"/>
  <c r="D9" i="5"/>
  <c r="G7" i="5"/>
  <c r="D6" i="5"/>
  <c r="G4" i="5"/>
  <c r="D3" i="5"/>
  <c r="E99" i="5"/>
  <c r="E90" i="5"/>
  <c r="E81" i="5"/>
  <c r="E76" i="5"/>
  <c r="C72" i="5"/>
  <c r="C69" i="5"/>
  <c r="F66" i="5"/>
  <c r="E64" i="5"/>
  <c r="F62" i="5"/>
  <c r="G60" i="5"/>
  <c r="D59" i="5"/>
  <c r="G57" i="5"/>
  <c r="D56" i="5"/>
  <c r="F54" i="5"/>
  <c r="C53" i="5"/>
  <c r="F51" i="5"/>
  <c r="C50" i="5"/>
  <c r="F48" i="5"/>
  <c r="C47" i="5"/>
  <c r="F45" i="5"/>
  <c r="B44" i="5"/>
  <c r="E42" i="5"/>
  <c r="B41" i="5"/>
  <c r="E39" i="5"/>
  <c r="B38" i="5"/>
  <c r="E36" i="5"/>
  <c r="B35" i="5"/>
  <c r="D33" i="5"/>
  <c r="G31" i="5"/>
  <c r="D30" i="5"/>
  <c r="G28" i="5"/>
  <c r="D27" i="5"/>
  <c r="G25" i="5"/>
  <c r="D24" i="5"/>
  <c r="F22" i="5"/>
  <c r="C21" i="5"/>
  <c r="F19" i="5"/>
  <c r="C18" i="5"/>
  <c r="F16" i="5"/>
  <c r="C15" i="5"/>
  <c r="F13" i="5"/>
  <c r="B12" i="5"/>
  <c r="E10" i="5"/>
  <c r="B9" i="5"/>
  <c r="E7" i="5"/>
  <c r="B6" i="5"/>
  <c r="E4" i="5"/>
  <c r="B3" i="5"/>
  <c r="E98" i="5"/>
  <c r="E89" i="5"/>
  <c r="E80" i="5"/>
  <c r="G75" i="5"/>
  <c r="G71" i="5"/>
  <c r="F68" i="5"/>
  <c r="E66" i="5"/>
  <c r="D64" i="5"/>
  <c r="D7" i="5"/>
  <c r="D13" i="5"/>
  <c r="E19" i="5"/>
  <c r="F25" i="5"/>
  <c r="F31" i="5"/>
  <c r="G37" i="5"/>
  <c r="G43" i="5"/>
  <c r="B50" i="5"/>
  <c r="B56" i="5"/>
  <c r="E62" i="5"/>
  <c r="E91" i="5"/>
  <c r="D45" i="5"/>
  <c r="F7" i="5"/>
  <c r="G13" i="5"/>
  <c r="G19" i="5"/>
  <c r="B26" i="5"/>
  <c r="B32" i="5"/>
  <c r="C38" i="5"/>
  <c r="D44" i="5"/>
  <c r="D50" i="5"/>
  <c r="E56" i="5"/>
  <c r="G62" i="5"/>
  <c r="E100" i="5"/>
  <c r="B21" i="5"/>
  <c r="E51" i="5"/>
  <c r="C3" i="5"/>
  <c r="E27" i="5"/>
  <c r="G51" i="5"/>
  <c r="E16" i="5"/>
  <c r="G40" i="5"/>
  <c r="B47" i="5"/>
  <c r="B53" i="5"/>
  <c r="C59" i="5"/>
  <c r="E69" i="5"/>
  <c r="C33" i="5"/>
  <c r="F64" i="5"/>
  <c r="C9" i="5"/>
  <c r="F33" i="5"/>
  <c r="C67" i="5"/>
  <c r="F4" i="5"/>
  <c r="E59" i="5"/>
  <c r="G8" i="5"/>
  <c r="C27" i="5"/>
  <c r="F57" i="5"/>
  <c r="D15" i="5"/>
  <c r="F39" i="5"/>
  <c r="B58" i="5"/>
  <c r="D4" i="5"/>
  <c r="E22" i="5"/>
  <c r="F34" i="5"/>
  <c r="G16" i="5"/>
  <c r="B23" i="5"/>
  <c r="C35" i="5"/>
  <c r="D47" i="5"/>
  <c r="G5" i="5"/>
  <c r="G11" i="5"/>
  <c r="B18" i="5"/>
  <c r="B24" i="5"/>
  <c r="C30" i="5"/>
  <c r="D36" i="5"/>
  <c r="D42" i="5"/>
  <c r="E48" i="5"/>
  <c r="E54" i="5"/>
  <c r="F60" i="5"/>
  <c r="G76" i="5"/>
  <c r="B15" i="5"/>
  <c r="D39" i="5"/>
  <c r="D21" i="5"/>
  <c r="G45" i="5"/>
  <c r="D10" i="5"/>
  <c r="F28" i="5"/>
  <c r="F10" i="5"/>
  <c r="B29" i="5"/>
  <c r="C41" i="5"/>
  <c r="D53" i="5"/>
  <c r="E72" i="5"/>
  <c r="C6" i="5"/>
  <c r="D12" i="5"/>
  <c r="D18" i="5"/>
  <c r="E24" i="5"/>
  <c r="E30" i="5"/>
  <c r="F36" i="5"/>
  <c r="F42" i="5"/>
  <c r="G48" i="5"/>
  <c r="B55" i="5"/>
  <c r="C61" i="5"/>
  <c r="E82" i="5"/>
  <c r="H30" i="5"/>
  <c r="I34" i="5"/>
  <c r="H39" i="5"/>
  <c r="H44" i="5"/>
  <c r="I48" i="5"/>
  <c r="H53" i="5"/>
  <c r="I57" i="5"/>
  <c r="H62" i="5"/>
  <c r="I66" i="5"/>
  <c r="H71" i="5"/>
  <c r="H76" i="5"/>
  <c r="I80" i="5"/>
  <c r="H85" i="5"/>
  <c r="I89" i="5"/>
  <c r="I95" i="5"/>
  <c r="I104" i="5"/>
  <c r="I115" i="5"/>
  <c r="I125" i="5"/>
  <c r="I2" i="5"/>
  <c r="H7" i="5"/>
  <c r="H12" i="5"/>
  <c r="I16" i="5"/>
  <c r="H21" i="5"/>
  <c r="I25" i="5"/>
  <c r="H3" i="5"/>
  <c r="H8" i="5"/>
  <c r="I12" i="5"/>
  <c r="H17" i="5"/>
  <c r="I21" i="5"/>
  <c r="H26" i="5"/>
  <c r="I30" i="5"/>
  <c r="H35" i="5"/>
  <c r="H40" i="5"/>
  <c r="I44" i="5"/>
  <c r="H49" i="5"/>
  <c r="I53" i="5"/>
  <c r="H58" i="5"/>
  <c r="I62" i="5"/>
  <c r="H67" i="5"/>
  <c r="H72" i="5"/>
  <c r="I76" i="5"/>
  <c r="H81" i="5"/>
  <c r="I85" i="5"/>
  <c r="H90" i="5"/>
  <c r="I96" i="5"/>
  <c r="I105" i="5"/>
  <c r="I132" i="5"/>
  <c r="I131" i="5"/>
  <c r="I130" i="5"/>
  <c r="I122" i="5"/>
  <c r="I114" i="5"/>
  <c r="I106" i="5"/>
  <c r="I98" i="5"/>
  <c r="I91" i="5"/>
  <c r="I87" i="5"/>
  <c r="I83" i="5"/>
  <c r="I79" i="5"/>
  <c r="I75" i="5"/>
  <c r="I71" i="5"/>
  <c r="I67" i="5"/>
  <c r="I63" i="5"/>
  <c r="I59" i="5"/>
  <c r="I55" i="5"/>
  <c r="I51" i="5"/>
  <c r="I47" i="5"/>
  <c r="I43" i="5"/>
  <c r="I39" i="5"/>
  <c r="I35" i="5"/>
  <c r="I31" i="5"/>
  <c r="I27" i="5"/>
  <c r="I23" i="5"/>
  <c r="I19" i="5"/>
  <c r="I15" i="5"/>
  <c r="I11" i="5"/>
  <c r="I7" i="5"/>
  <c r="I3" i="5"/>
  <c r="I121" i="5"/>
  <c r="I113" i="5"/>
  <c r="I129" i="5"/>
  <c r="I128" i="5"/>
  <c r="I127" i="5"/>
  <c r="I126" i="5"/>
  <c r="I133" i="5"/>
  <c r="I4" i="5"/>
  <c r="H9" i="5"/>
  <c r="I13" i="5"/>
  <c r="H18" i="5"/>
  <c r="I22" i="5"/>
  <c r="H27" i="5"/>
  <c r="H32" i="5"/>
  <c r="I36" i="5"/>
  <c r="H41" i="5"/>
  <c r="I45" i="5"/>
  <c r="H50" i="5"/>
  <c r="I54" i="5"/>
  <c r="H59" i="5"/>
  <c r="H64" i="5"/>
  <c r="I68" i="5"/>
  <c r="H73" i="5"/>
  <c r="I77" i="5"/>
  <c r="H82" i="5"/>
  <c r="I86" i="5"/>
  <c r="H91" i="5"/>
  <c r="I99" i="5"/>
  <c r="I108" i="5"/>
  <c r="I118" i="5"/>
  <c r="I72" i="5"/>
  <c r="I97" i="5"/>
  <c r="H5" i="5"/>
  <c r="I9" i="5"/>
  <c r="H14" i="5"/>
  <c r="I18" i="5"/>
  <c r="H23" i="5"/>
  <c r="H28" i="5"/>
  <c r="I32" i="5"/>
  <c r="H37" i="5"/>
  <c r="I41" i="5"/>
  <c r="H46" i="5"/>
  <c r="I50" i="5"/>
  <c r="H55" i="5"/>
  <c r="H60" i="5"/>
  <c r="I64" i="5"/>
  <c r="H69" i="5"/>
  <c r="I73" i="5"/>
  <c r="H78" i="5"/>
  <c r="I82" i="5"/>
  <c r="H87" i="5"/>
  <c r="H92" i="5"/>
  <c r="I100" i="5"/>
  <c r="I109" i="5"/>
  <c r="I119" i="5"/>
  <c r="H86" i="5"/>
  <c r="I107" i="5"/>
  <c r="I5" i="5"/>
  <c r="H10" i="5"/>
  <c r="I14" i="5"/>
  <c r="H19" i="5"/>
  <c r="H24" i="5"/>
  <c r="I28" i="5"/>
  <c r="H33" i="5"/>
  <c r="I37" i="5"/>
  <c r="H42" i="5"/>
  <c r="I46" i="5"/>
  <c r="H51" i="5"/>
  <c r="H56" i="5"/>
  <c r="I60" i="5"/>
  <c r="H65" i="5"/>
  <c r="I69" i="5"/>
  <c r="H74" i="5"/>
  <c r="I78" i="5"/>
  <c r="H83" i="5"/>
  <c r="H88" i="5"/>
  <c r="I92" i="5"/>
  <c r="I101" i="5"/>
  <c r="I110" i="5"/>
  <c r="I120" i="5"/>
  <c r="H68" i="5"/>
  <c r="I81" i="5"/>
  <c r="I90" i="5"/>
  <c r="H6" i="5"/>
  <c r="I10" i="5"/>
  <c r="H15" i="5"/>
  <c r="H20" i="5"/>
  <c r="I24" i="5"/>
  <c r="H29" i="5"/>
  <c r="I33" i="5"/>
  <c r="H38" i="5"/>
  <c r="I42" i="5"/>
  <c r="H47" i="5"/>
  <c r="H52" i="5"/>
  <c r="I56" i="5"/>
  <c r="H61" i="5"/>
  <c r="I65" i="5"/>
  <c r="H70" i="5"/>
  <c r="I74" i="5"/>
  <c r="H79" i="5"/>
  <c r="H84" i="5"/>
  <c r="I88" i="5"/>
  <c r="I93" i="5"/>
  <c r="I102" i="5"/>
  <c r="I111" i="5"/>
  <c r="I123" i="5"/>
  <c r="I117" i="5"/>
  <c r="H2" i="5"/>
  <c r="I6" i="5"/>
  <c r="H11" i="5"/>
  <c r="H16" i="5"/>
  <c r="I20" i="5"/>
  <c r="H25" i="5"/>
  <c r="I29" i="5"/>
  <c r="H34" i="5"/>
  <c r="I38" i="5"/>
  <c r="H43" i="5"/>
  <c r="H48" i="5"/>
  <c r="I52" i="5"/>
  <c r="H57" i="5"/>
  <c r="I61" i="5"/>
  <c r="H66" i="5"/>
  <c r="I70" i="5"/>
  <c r="H75" i="5"/>
  <c r="H80" i="5"/>
  <c r="I84" i="5"/>
  <c r="H89" i="5"/>
  <c r="I94" i="5"/>
  <c r="I103" i="5"/>
  <c r="I112" i="5"/>
  <c r="I124" i="5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T2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O79" i="4"/>
  <c r="M79" i="4"/>
  <c r="O78" i="4"/>
  <c r="M78" i="4"/>
  <c r="O77" i="4"/>
  <c r="M77" i="4"/>
  <c r="O76" i="4"/>
  <c r="M76" i="4"/>
  <c r="O75" i="4"/>
  <c r="M75" i="4"/>
  <c r="O74" i="4"/>
  <c r="M74" i="4"/>
  <c r="O73" i="4"/>
  <c r="M73" i="4"/>
  <c r="O72" i="4"/>
  <c r="M72" i="4"/>
  <c r="K72" i="4"/>
  <c r="O71" i="4"/>
  <c r="M71" i="4"/>
  <c r="K71" i="4"/>
  <c r="O70" i="4"/>
  <c r="M70" i="4"/>
  <c r="K70" i="4"/>
  <c r="O69" i="4"/>
  <c r="M69" i="4"/>
  <c r="K69" i="4"/>
  <c r="O68" i="4"/>
  <c r="N68" i="4"/>
  <c r="M68" i="4"/>
  <c r="K68" i="4"/>
  <c r="O67" i="4"/>
  <c r="N67" i="4"/>
  <c r="M67" i="4"/>
  <c r="K67" i="4"/>
  <c r="O66" i="4"/>
  <c r="N66" i="4"/>
  <c r="M66" i="4"/>
  <c r="K66" i="4"/>
  <c r="O65" i="4"/>
  <c r="N65" i="4"/>
  <c r="M65" i="4"/>
  <c r="K65" i="4"/>
  <c r="O64" i="4"/>
  <c r="N64" i="4"/>
  <c r="M64" i="4"/>
  <c r="L64" i="4"/>
  <c r="K64" i="4"/>
  <c r="O63" i="4"/>
  <c r="N63" i="4"/>
  <c r="M63" i="4"/>
  <c r="L63" i="4"/>
  <c r="K63" i="4"/>
  <c r="O62" i="4"/>
  <c r="N62" i="4"/>
  <c r="M62" i="4"/>
  <c r="L62" i="4"/>
  <c r="K62" i="4"/>
  <c r="O61" i="4"/>
  <c r="N61" i="4"/>
  <c r="M61" i="4"/>
  <c r="L61" i="4"/>
  <c r="K61" i="4"/>
  <c r="O60" i="4"/>
  <c r="N60" i="4"/>
  <c r="M60" i="4"/>
  <c r="L60" i="4"/>
  <c r="K60" i="4"/>
  <c r="J60" i="4"/>
  <c r="O59" i="4"/>
  <c r="N59" i="4"/>
  <c r="M59" i="4"/>
  <c r="L59" i="4"/>
  <c r="K59" i="4"/>
  <c r="J59" i="4"/>
  <c r="O58" i="4"/>
  <c r="N58" i="4"/>
  <c r="M58" i="4"/>
  <c r="L58" i="4"/>
  <c r="K58" i="4"/>
  <c r="J58" i="4"/>
  <c r="O57" i="4"/>
  <c r="N57" i="4"/>
  <c r="M57" i="4"/>
  <c r="L57" i="4"/>
  <c r="K57" i="4"/>
  <c r="J57" i="4"/>
  <c r="O56" i="4"/>
  <c r="N56" i="4"/>
  <c r="M56" i="4"/>
  <c r="L56" i="4"/>
  <c r="K56" i="4"/>
  <c r="J56" i="4"/>
  <c r="O55" i="4"/>
  <c r="N55" i="4"/>
  <c r="M55" i="4"/>
  <c r="L55" i="4"/>
  <c r="K55" i="4"/>
  <c r="J55" i="4"/>
  <c r="O54" i="4"/>
  <c r="N54" i="4"/>
  <c r="M54" i="4"/>
  <c r="L54" i="4"/>
  <c r="K54" i="4"/>
  <c r="J54" i="4"/>
  <c r="O53" i="4"/>
  <c r="N53" i="4"/>
  <c r="M53" i="4"/>
  <c r="L53" i="4"/>
  <c r="K53" i="4"/>
  <c r="J53" i="4"/>
  <c r="O52" i="4"/>
  <c r="N52" i="4"/>
  <c r="M52" i="4"/>
  <c r="L52" i="4"/>
  <c r="K52" i="4"/>
  <c r="J52" i="4"/>
  <c r="O51" i="4"/>
  <c r="N51" i="4"/>
  <c r="M51" i="4"/>
  <c r="L51" i="4"/>
  <c r="K51" i="4"/>
  <c r="J51" i="4"/>
  <c r="O50" i="4"/>
  <c r="N50" i="4"/>
  <c r="M50" i="4"/>
  <c r="L50" i="4"/>
  <c r="K50" i="4"/>
  <c r="J50" i="4"/>
  <c r="O49" i="4"/>
  <c r="N49" i="4"/>
  <c r="M49" i="4"/>
  <c r="L49" i="4"/>
  <c r="K49" i="4"/>
  <c r="J49" i="4"/>
  <c r="O48" i="4"/>
  <c r="N48" i="4"/>
  <c r="M48" i="4"/>
  <c r="L48" i="4"/>
  <c r="K48" i="4"/>
  <c r="J48" i="4"/>
  <c r="O47" i="4"/>
  <c r="N47" i="4"/>
  <c r="M47" i="4"/>
  <c r="L47" i="4"/>
  <c r="K47" i="4"/>
  <c r="J47" i="4"/>
  <c r="O46" i="4"/>
  <c r="N46" i="4"/>
  <c r="M46" i="4"/>
  <c r="L46" i="4"/>
  <c r="K46" i="4"/>
  <c r="J46" i="4"/>
  <c r="O45" i="4"/>
  <c r="N45" i="4"/>
  <c r="M45" i="4"/>
  <c r="L45" i="4"/>
  <c r="K45" i="4"/>
  <c r="J45" i="4"/>
  <c r="O44" i="4"/>
  <c r="N44" i="4"/>
  <c r="M44" i="4"/>
  <c r="L44" i="4"/>
  <c r="K44" i="4"/>
  <c r="J44" i="4"/>
  <c r="O43" i="4"/>
  <c r="N43" i="4"/>
  <c r="M43" i="4"/>
  <c r="L43" i="4"/>
  <c r="K43" i="4"/>
  <c r="J43" i="4"/>
  <c r="O42" i="4"/>
  <c r="N42" i="4"/>
  <c r="M42" i="4"/>
  <c r="L42" i="4"/>
  <c r="K42" i="4"/>
  <c r="J42" i="4"/>
  <c r="O41" i="4"/>
  <c r="N41" i="4"/>
  <c r="M41" i="4"/>
  <c r="L41" i="4"/>
  <c r="K41" i="4"/>
  <c r="J41" i="4"/>
  <c r="O40" i="4"/>
  <c r="N40" i="4"/>
  <c r="M40" i="4"/>
  <c r="L40" i="4"/>
  <c r="K40" i="4"/>
  <c r="J40" i="4"/>
  <c r="O39" i="4"/>
  <c r="N39" i="4"/>
  <c r="M39" i="4"/>
  <c r="L39" i="4"/>
  <c r="K39" i="4"/>
  <c r="J39" i="4"/>
  <c r="O38" i="4"/>
  <c r="N38" i="4"/>
  <c r="M38" i="4"/>
  <c r="L38" i="4"/>
  <c r="K38" i="4"/>
  <c r="J38" i="4"/>
  <c r="O37" i="4"/>
  <c r="N37" i="4"/>
  <c r="M37" i="4"/>
  <c r="L37" i="4"/>
  <c r="K37" i="4"/>
  <c r="J37" i="4"/>
  <c r="O36" i="4"/>
  <c r="N36" i="4"/>
  <c r="M36" i="4"/>
  <c r="L36" i="4"/>
  <c r="K36" i="4"/>
  <c r="J36" i="4"/>
  <c r="O35" i="4"/>
  <c r="N35" i="4"/>
  <c r="M35" i="4"/>
  <c r="L35" i="4"/>
  <c r="K35" i="4"/>
  <c r="J35" i="4"/>
  <c r="O34" i="4"/>
  <c r="N34" i="4"/>
  <c r="M34" i="4"/>
  <c r="L34" i="4"/>
  <c r="K34" i="4"/>
  <c r="J34" i="4"/>
  <c r="O33" i="4"/>
  <c r="N33" i="4"/>
  <c r="M33" i="4"/>
  <c r="L33" i="4"/>
  <c r="K33" i="4"/>
  <c r="J33" i="4"/>
  <c r="O32" i="4"/>
  <c r="N32" i="4"/>
  <c r="M32" i="4"/>
  <c r="L32" i="4"/>
  <c r="K32" i="4"/>
  <c r="J32" i="4"/>
  <c r="O31" i="4"/>
  <c r="N31" i="4"/>
  <c r="M31" i="4"/>
  <c r="L31" i="4"/>
  <c r="K31" i="4"/>
  <c r="J31" i="4"/>
  <c r="O30" i="4"/>
  <c r="N30" i="4"/>
  <c r="M30" i="4"/>
  <c r="L30" i="4"/>
  <c r="K30" i="4"/>
  <c r="J30" i="4"/>
  <c r="O29" i="4"/>
  <c r="N29" i="4"/>
  <c r="M29" i="4"/>
  <c r="L29" i="4"/>
  <c r="K29" i="4"/>
  <c r="J29" i="4"/>
  <c r="O28" i="4"/>
  <c r="N28" i="4"/>
  <c r="M28" i="4"/>
  <c r="L28" i="4"/>
  <c r="K28" i="4"/>
  <c r="J28" i="4"/>
  <c r="O27" i="4"/>
  <c r="N27" i="4"/>
  <c r="M27" i="4"/>
  <c r="L27" i="4"/>
  <c r="K27" i="4"/>
  <c r="J27" i="4"/>
  <c r="O26" i="4"/>
  <c r="N26" i="4"/>
  <c r="M26" i="4"/>
  <c r="L26" i="4"/>
  <c r="K26" i="4"/>
  <c r="J26" i="4"/>
  <c r="O25" i="4"/>
  <c r="N25" i="4"/>
  <c r="M25" i="4"/>
  <c r="L25" i="4"/>
  <c r="K25" i="4"/>
  <c r="J25" i="4"/>
  <c r="O24" i="4"/>
  <c r="N24" i="4"/>
  <c r="M24" i="4"/>
  <c r="L24" i="4"/>
  <c r="K24" i="4"/>
  <c r="J24" i="4"/>
  <c r="O23" i="4"/>
  <c r="N23" i="4"/>
  <c r="M23" i="4"/>
  <c r="L23" i="4"/>
  <c r="K23" i="4"/>
  <c r="J23" i="4"/>
  <c r="O22" i="4"/>
  <c r="N22" i="4"/>
  <c r="M22" i="4"/>
  <c r="L22" i="4"/>
  <c r="K22" i="4"/>
  <c r="J22" i="4"/>
  <c r="O21" i="4"/>
  <c r="N21" i="4"/>
  <c r="M21" i="4"/>
  <c r="L21" i="4"/>
  <c r="K21" i="4"/>
  <c r="J21" i="4"/>
  <c r="O20" i="4"/>
  <c r="N20" i="4"/>
  <c r="M20" i="4"/>
  <c r="L20" i="4"/>
  <c r="K20" i="4"/>
  <c r="J20" i="4"/>
  <c r="O19" i="4"/>
  <c r="N19" i="4"/>
  <c r="M19" i="4"/>
  <c r="L19" i="4"/>
  <c r="K19" i="4"/>
  <c r="J19" i="4"/>
  <c r="O18" i="4"/>
  <c r="N18" i="4"/>
  <c r="M18" i="4"/>
  <c r="L18" i="4"/>
  <c r="K18" i="4"/>
  <c r="J18" i="4"/>
  <c r="O17" i="4"/>
  <c r="N17" i="4"/>
  <c r="M17" i="4"/>
  <c r="L17" i="4"/>
  <c r="K17" i="4"/>
  <c r="J17" i="4"/>
  <c r="O16" i="4"/>
  <c r="N16" i="4"/>
  <c r="M16" i="4"/>
  <c r="L16" i="4"/>
  <c r="K16" i="4"/>
  <c r="J16" i="4"/>
  <c r="O15" i="4"/>
  <c r="N15" i="4"/>
  <c r="M15" i="4"/>
  <c r="L15" i="4"/>
  <c r="K15" i="4"/>
  <c r="J15" i="4"/>
  <c r="O14" i="4"/>
  <c r="N14" i="4"/>
  <c r="M14" i="4"/>
  <c r="L14" i="4"/>
  <c r="K14" i="4"/>
  <c r="J14" i="4"/>
  <c r="O13" i="4"/>
  <c r="N13" i="4"/>
  <c r="M13" i="4"/>
  <c r="L13" i="4"/>
  <c r="K13" i="4"/>
  <c r="J13" i="4"/>
  <c r="O12" i="4"/>
  <c r="N12" i="4"/>
  <c r="M12" i="4"/>
  <c r="L12" i="4"/>
  <c r="K12" i="4"/>
  <c r="J12" i="4"/>
  <c r="O11" i="4"/>
  <c r="N11" i="4"/>
  <c r="M11" i="4"/>
  <c r="L11" i="4"/>
  <c r="K11" i="4"/>
  <c r="J11" i="4"/>
  <c r="O10" i="4"/>
  <c r="N10" i="4"/>
  <c r="M10" i="4"/>
  <c r="L10" i="4"/>
  <c r="K10" i="4"/>
  <c r="J10" i="4"/>
  <c r="O9" i="4"/>
  <c r="N9" i="4"/>
  <c r="M9" i="4"/>
  <c r="L9" i="4"/>
  <c r="K9" i="4"/>
  <c r="J9" i="4"/>
  <c r="O8" i="4"/>
  <c r="N8" i="4"/>
  <c r="M8" i="4"/>
  <c r="L8" i="4"/>
  <c r="K8" i="4"/>
  <c r="J8" i="4"/>
  <c r="O7" i="4"/>
  <c r="N7" i="4"/>
  <c r="M7" i="4"/>
  <c r="L7" i="4"/>
  <c r="K7" i="4"/>
  <c r="J7" i="4"/>
  <c r="O6" i="4"/>
  <c r="N6" i="4"/>
  <c r="M6" i="4"/>
  <c r="L6" i="4"/>
  <c r="K6" i="4"/>
  <c r="J6" i="4"/>
  <c r="O5" i="4"/>
  <c r="N5" i="4"/>
  <c r="M5" i="4"/>
  <c r="L5" i="4"/>
  <c r="K5" i="4"/>
  <c r="J5" i="4"/>
  <c r="O4" i="4"/>
  <c r="N4" i="4"/>
  <c r="M4" i="4"/>
  <c r="L4" i="4"/>
  <c r="K4" i="4"/>
  <c r="J4" i="4"/>
  <c r="O3" i="4"/>
  <c r="N3" i="4"/>
  <c r="M3" i="4"/>
  <c r="L3" i="4"/>
  <c r="K3" i="4"/>
  <c r="J3" i="4"/>
  <c r="O2" i="4"/>
  <c r="N2" i="4"/>
  <c r="M2" i="4"/>
  <c r="L2" i="4"/>
  <c r="K2" i="4"/>
  <c r="J2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S62" i="4"/>
  <c r="R62" i="4"/>
  <c r="S61" i="4"/>
  <c r="R61" i="4"/>
  <c r="S60" i="4"/>
  <c r="R60" i="4"/>
  <c r="S59" i="4"/>
  <c r="R59" i="4"/>
  <c r="S58" i="4"/>
  <c r="R58" i="4"/>
  <c r="S57" i="4"/>
  <c r="R57" i="4"/>
  <c r="S56" i="4"/>
  <c r="R56" i="4"/>
  <c r="S55" i="4"/>
  <c r="R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S33" i="4"/>
  <c r="R33" i="4"/>
  <c r="S32" i="4"/>
  <c r="R32" i="4"/>
  <c r="S31" i="4"/>
  <c r="R31" i="4"/>
  <c r="S30" i="4"/>
  <c r="R30" i="4"/>
  <c r="S29" i="4"/>
  <c r="R29" i="4"/>
  <c r="S28" i="4"/>
  <c r="R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A67" i="3"/>
  <c r="A68" i="3"/>
  <c r="A69" i="3"/>
  <c r="A70" i="3"/>
  <c r="A71" i="3"/>
  <c r="A72" i="3"/>
  <c r="A73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A59" i="3"/>
  <c r="A60" i="3"/>
  <c r="A61" i="3"/>
  <c r="A62" i="3"/>
  <c r="A63" i="3"/>
  <c r="A64" i="3"/>
  <c r="A65" i="3"/>
  <c r="A66" i="3"/>
  <c r="F61" i="3"/>
  <c r="F60" i="3"/>
  <c r="F59" i="3"/>
  <c r="F58" i="3"/>
  <c r="F57" i="3"/>
  <c r="F56" i="3"/>
  <c r="F55" i="3"/>
  <c r="A258" i="2"/>
  <c r="D277" i="1"/>
  <c r="B258" i="2"/>
  <c r="A259" i="2"/>
  <c r="D278" i="1"/>
  <c r="B259" i="2"/>
  <c r="A260" i="2"/>
  <c r="D279" i="1"/>
  <c r="B260" i="2"/>
  <c r="A261" i="2"/>
  <c r="D280" i="1"/>
  <c r="B261" i="2"/>
  <c r="A262" i="2"/>
  <c r="D281" i="1"/>
  <c r="B262" i="2"/>
  <c r="A263" i="2"/>
  <c r="D282" i="1"/>
  <c r="B263" i="2"/>
  <c r="A264" i="2"/>
  <c r="D283" i="1"/>
  <c r="B264" i="2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G58" i="3"/>
  <c r="A58" i="3"/>
  <c r="G57" i="3"/>
  <c r="A57" i="3"/>
  <c r="G56" i="3"/>
  <c r="A56" i="3"/>
  <c r="G55" i="3"/>
  <c r="A55" i="3"/>
  <c r="G54" i="3"/>
  <c r="F54" i="3"/>
  <c r="A54" i="3"/>
  <c r="G53" i="3"/>
  <c r="F53" i="3"/>
  <c r="A53" i="3"/>
  <c r="G52" i="3"/>
  <c r="F52" i="3"/>
  <c r="A52" i="3"/>
  <c r="G51" i="3"/>
  <c r="F51" i="3"/>
  <c r="A51" i="3"/>
  <c r="G50" i="3"/>
  <c r="F50" i="3"/>
  <c r="A50" i="3"/>
  <c r="G49" i="3"/>
  <c r="F49" i="3"/>
  <c r="A49" i="3"/>
  <c r="G48" i="3"/>
  <c r="F48" i="3"/>
  <c r="A48" i="3"/>
  <c r="G47" i="3"/>
  <c r="F47" i="3"/>
  <c r="A47" i="3"/>
  <c r="G46" i="3"/>
  <c r="F46" i="3"/>
  <c r="A46" i="3"/>
  <c r="G45" i="3"/>
  <c r="F45" i="3"/>
  <c r="A45" i="3"/>
  <c r="G44" i="3"/>
  <c r="F44" i="3"/>
  <c r="A44" i="3"/>
  <c r="G43" i="3"/>
  <c r="F43" i="3"/>
  <c r="A43" i="3"/>
  <c r="G42" i="3"/>
  <c r="F42" i="3"/>
  <c r="A42" i="3"/>
  <c r="G41" i="3"/>
  <c r="F41" i="3"/>
  <c r="A41" i="3"/>
  <c r="G40" i="3"/>
  <c r="F40" i="3"/>
  <c r="A40" i="3"/>
  <c r="G39" i="3"/>
  <c r="F39" i="3"/>
  <c r="A39" i="3"/>
  <c r="G38" i="3"/>
  <c r="F38" i="3"/>
  <c r="A38" i="3"/>
  <c r="G37" i="3"/>
  <c r="F37" i="3"/>
  <c r="A37" i="3"/>
  <c r="G36" i="3"/>
  <c r="F36" i="3"/>
  <c r="A36" i="3"/>
  <c r="G35" i="3"/>
  <c r="F35" i="3"/>
  <c r="A35" i="3"/>
  <c r="G34" i="3"/>
  <c r="F34" i="3"/>
  <c r="A34" i="3"/>
  <c r="G33" i="3"/>
  <c r="F33" i="3"/>
  <c r="A33" i="3"/>
  <c r="G32" i="3"/>
  <c r="F32" i="3"/>
  <c r="A32" i="3"/>
  <c r="G31" i="3"/>
  <c r="F31" i="3"/>
  <c r="A31" i="3"/>
  <c r="G30" i="3"/>
  <c r="F30" i="3"/>
  <c r="A30" i="3"/>
  <c r="G29" i="3"/>
  <c r="F29" i="3"/>
  <c r="A29" i="3"/>
  <c r="G28" i="3"/>
  <c r="F28" i="3"/>
  <c r="A28" i="3"/>
  <c r="G27" i="3"/>
  <c r="F27" i="3"/>
  <c r="A27" i="3"/>
  <c r="G26" i="3"/>
  <c r="F26" i="3"/>
  <c r="A26" i="3"/>
  <c r="G25" i="3"/>
  <c r="F25" i="3"/>
  <c r="A25" i="3"/>
  <c r="G24" i="3"/>
  <c r="F24" i="3"/>
  <c r="A24" i="3"/>
  <c r="G23" i="3"/>
  <c r="F23" i="3"/>
  <c r="A23" i="3"/>
  <c r="G22" i="3"/>
  <c r="F22" i="3"/>
  <c r="A22" i="3"/>
  <c r="G21" i="3"/>
  <c r="F21" i="3"/>
  <c r="A21" i="3"/>
  <c r="G20" i="3"/>
  <c r="F20" i="3"/>
  <c r="A20" i="3"/>
  <c r="G19" i="3"/>
  <c r="F19" i="3"/>
  <c r="A19" i="3"/>
  <c r="G18" i="3"/>
  <c r="F18" i="3"/>
  <c r="A18" i="3"/>
  <c r="G17" i="3"/>
  <c r="F17" i="3"/>
  <c r="A17" i="3"/>
  <c r="G16" i="3"/>
  <c r="F16" i="3"/>
  <c r="A16" i="3"/>
  <c r="G15" i="3"/>
  <c r="F15" i="3"/>
  <c r="A15" i="3"/>
  <c r="G14" i="3"/>
  <c r="F14" i="3"/>
  <c r="A14" i="3"/>
  <c r="G13" i="3"/>
  <c r="F13" i="3"/>
  <c r="A13" i="3"/>
  <c r="G12" i="3"/>
  <c r="F12" i="3"/>
  <c r="A12" i="3"/>
  <c r="G11" i="3"/>
  <c r="F11" i="3"/>
  <c r="A11" i="3"/>
  <c r="G10" i="3"/>
  <c r="F10" i="3"/>
  <c r="A10" i="3"/>
  <c r="G9" i="3"/>
  <c r="F9" i="3"/>
  <c r="A9" i="3"/>
  <c r="G8" i="3"/>
  <c r="F8" i="3"/>
  <c r="A8" i="3"/>
  <c r="G7" i="3"/>
  <c r="F7" i="3"/>
  <c r="A7" i="3"/>
  <c r="G6" i="3"/>
  <c r="F6" i="3"/>
  <c r="A6" i="3"/>
  <c r="G5" i="3"/>
  <c r="F5" i="3"/>
  <c r="A5" i="3"/>
  <c r="G4" i="3"/>
  <c r="F4" i="3"/>
  <c r="A4" i="3"/>
  <c r="G3" i="3"/>
  <c r="F3" i="3"/>
  <c r="A3" i="3"/>
  <c r="B257" i="2"/>
  <c r="B256" i="2"/>
  <c r="B255" i="2"/>
  <c r="B251" i="2"/>
  <c r="B249" i="2"/>
  <c r="B248" i="2"/>
  <c r="B244" i="2"/>
  <c r="B243" i="2"/>
  <c r="B241" i="2"/>
  <c r="B240" i="2"/>
  <c r="B239" i="2"/>
  <c r="B235" i="2"/>
  <c r="B233" i="2"/>
  <c r="B232" i="2"/>
  <c r="B228" i="2"/>
  <c r="B227" i="2"/>
  <c r="B225" i="2"/>
  <c r="B224" i="2"/>
  <c r="B223" i="2"/>
  <c r="B219" i="2"/>
  <c r="B217" i="2"/>
  <c r="B216" i="2"/>
  <c r="B212" i="2"/>
  <c r="B211" i="2"/>
  <c r="B209" i="2"/>
  <c r="B208" i="2"/>
  <c r="B207" i="2"/>
  <c r="B203" i="2"/>
  <c r="B201" i="2"/>
  <c r="B200" i="2"/>
  <c r="B196" i="2"/>
  <c r="B195" i="2"/>
  <c r="B193" i="2"/>
  <c r="B192" i="2"/>
  <c r="B191" i="2"/>
  <c r="B187" i="2"/>
  <c r="B185" i="2"/>
  <c r="B184" i="2"/>
  <c r="B180" i="2"/>
  <c r="B179" i="2"/>
  <c r="B177" i="2"/>
  <c r="B176" i="2"/>
  <c r="B175" i="2"/>
  <c r="B171" i="2"/>
  <c r="B169" i="2"/>
  <c r="B168" i="2"/>
  <c r="B164" i="2"/>
  <c r="B163" i="2"/>
  <c r="B161" i="2"/>
  <c r="B160" i="2"/>
  <c r="B159" i="2"/>
  <c r="B155" i="2"/>
  <c r="B152" i="2"/>
  <c r="B151" i="2"/>
  <c r="B147" i="2"/>
  <c r="B144" i="2"/>
  <c r="B143" i="2"/>
  <c r="B140" i="2"/>
  <c r="B139" i="2"/>
  <c r="B135" i="2"/>
  <c r="B133" i="2"/>
  <c r="B132" i="2"/>
  <c r="B128" i="2"/>
  <c r="B127" i="2"/>
  <c r="B125" i="2"/>
  <c r="B124" i="2"/>
  <c r="B123" i="2"/>
  <c r="B120" i="2"/>
  <c r="B119" i="2"/>
  <c r="B116" i="2"/>
  <c r="B115" i="2"/>
  <c r="B111" i="2"/>
  <c r="B108" i="2"/>
  <c r="B107" i="2"/>
  <c r="B105" i="2"/>
  <c r="B104" i="2"/>
  <c r="B103" i="2"/>
  <c r="B99" i="2"/>
  <c r="B97" i="2"/>
  <c r="B96" i="2"/>
  <c r="B92" i="2"/>
  <c r="B91" i="2"/>
  <c r="B88" i="2"/>
  <c r="B87" i="2"/>
  <c r="B84" i="2"/>
  <c r="B83" i="2"/>
  <c r="B80" i="2"/>
  <c r="B79" i="2"/>
  <c r="B72" i="2"/>
  <c r="B71" i="2"/>
  <c r="B69" i="2"/>
  <c r="B68" i="2"/>
  <c r="B67" i="2"/>
  <c r="B63" i="2"/>
  <c r="B61" i="2"/>
  <c r="B60" i="2"/>
  <c r="B59" i="2"/>
  <c r="B55" i="2"/>
  <c r="B52" i="2"/>
  <c r="B51" i="2"/>
  <c r="B48" i="2"/>
  <c r="B47" i="2"/>
  <c r="B44" i="2"/>
  <c r="B43" i="2"/>
  <c r="B41" i="2"/>
  <c r="B40" i="2"/>
  <c r="B36" i="2"/>
  <c r="B35" i="2"/>
  <c r="B33" i="2"/>
  <c r="B32" i="2"/>
  <c r="B31" i="2"/>
  <c r="B27" i="2"/>
  <c r="B24" i="2"/>
  <c r="B23" i="2"/>
  <c r="B19" i="2"/>
  <c r="B16" i="2"/>
  <c r="B15" i="2"/>
  <c r="B12" i="2"/>
  <c r="B11" i="2"/>
  <c r="B7" i="2"/>
  <c r="B5" i="2"/>
  <c r="B4" i="2"/>
  <c r="B252" i="2"/>
  <c r="B247" i="2"/>
  <c r="B236" i="2"/>
  <c r="B231" i="2"/>
  <c r="B220" i="2"/>
  <c r="B215" i="2"/>
  <c r="B204" i="2"/>
  <c r="B199" i="2"/>
  <c r="B188" i="2"/>
  <c r="B183" i="2"/>
  <c r="B172" i="2"/>
  <c r="B167" i="2"/>
  <c r="B156" i="2"/>
  <c r="B148" i="2"/>
  <c r="B136" i="2"/>
  <c r="B131" i="2"/>
  <c r="B112" i="2"/>
  <c r="B100" i="2"/>
  <c r="B95" i="2"/>
  <c r="B76" i="2"/>
  <c r="B64" i="2"/>
  <c r="B56" i="2"/>
  <c r="B39" i="2"/>
  <c r="B28" i="2"/>
  <c r="B20" i="2"/>
  <c r="B8" i="2"/>
  <c r="B3" i="2"/>
  <c r="B2" i="2"/>
  <c r="A257" i="2"/>
  <c r="A256" i="2"/>
  <c r="A255" i="2"/>
  <c r="B254" i="2"/>
  <c r="A254" i="2"/>
  <c r="B253" i="2"/>
  <c r="A253" i="2"/>
  <c r="A252" i="2"/>
  <c r="A251" i="2"/>
  <c r="B250" i="2"/>
  <c r="A250" i="2"/>
  <c r="A249" i="2"/>
  <c r="A248" i="2"/>
  <c r="A247" i="2"/>
  <c r="B246" i="2"/>
  <c r="A246" i="2"/>
  <c r="B245" i="2"/>
  <c r="A245" i="2"/>
  <c r="A244" i="2"/>
  <c r="A243" i="2"/>
  <c r="B242" i="2"/>
  <c r="A242" i="2"/>
  <c r="A241" i="2"/>
  <c r="A240" i="2"/>
  <c r="A239" i="2"/>
  <c r="B238" i="2"/>
  <c r="A238" i="2"/>
  <c r="B237" i="2"/>
  <c r="A237" i="2"/>
  <c r="A236" i="2"/>
  <c r="A235" i="2"/>
  <c r="B234" i="2"/>
  <c r="A234" i="2"/>
  <c r="A233" i="2"/>
  <c r="A232" i="2"/>
  <c r="A231" i="2"/>
  <c r="B230" i="2"/>
  <c r="A230" i="2"/>
  <c r="B229" i="2"/>
  <c r="A229" i="2"/>
  <c r="A228" i="2"/>
  <c r="A227" i="2"/>
  <c r="B226" i="2"/>
  <c r="A226" i="2"/>
  <c r="A225" i="2"/>
  <c r="A224" i="2"/>
  <c r="A223" i="2"/>
  <c r="B222" i="2"/>
  <c r="A222" i="2"/>
  <c r="B221" i="2"/>
  <c r="A221" i="2"/>
  <c r="A220" i="2"/>
  <c r="A219" i="2"/>
  <c r="B218" i="2"/>
  <c r="A218" i="2"/>
  <c r="A217" i="2"/>
  <c r="A216" i="2"/>
  <c r="A215" i="2"/>
  <c r="B214" i="2"/>
  <c r="A214" i="2"/>
  <c r="B213" i="2"/>
  <c r="A213" i="2"/>
  <c r="A212" i="2"/>
  <c r="A211" i="2"/>
  <c r="B210" i="2"/>
  <c r="A210" i="2"/>
  <c r="A209" i="2"/>
  <c r="A208" i="2"/>
  <c r="A207" i="2"/>
  <c r="B206" i="2"/>
  <c r="A206" i="2"/>
  <c r="B205" i="2"/>
  <c r="A205" i="2"/>
  <c r="A204" i="2"/>
  <c r="A203" i="2"/>
  <c r="B202" i="2"/>
  <c r="A202" i="2"/>
  <c r="A201" i="2"/>
  <c r="A200" i="2"/>
  <c r="A199" i="2"/>
  <c r="B198" i="2"/>
  <c r="A198" i="2"/>
  <c r="B197" i="2"/>
  <c r="A197" i="2"/>
  <c r="A196" i="2"/>
  <c r="A195" i="2"/>
  <c r="B194" i="2"/>
  <c r="A194" i="2"/>
  <c r="A193" i="2"/>
  <c r="A192" i="2"/>
  <c r="A191" i="2"/>
  <c r="B190" i="2"/>
  <c r="A190" i="2"/>
  <c r="B189" i="2"/>
  <c r="A189" i="2"/>
  <c r="A188" i="2"/>
  <c r="A187" i="2"/>
  <c r="B186" i="2"/>
  <c r="A186" i="2"/>
  <c r="A185" i="2"/>
  <c r="A184" i="2"/>
  <c r="A183" i="2"/>
  <c r="B182" i="2"/>
  <c r="A182" i="2"/>
  <c r="B181" i="2"/>
  <c r="A181" i="2"/>
  <c r="A180" i="2"/>
  <c r="A179" i="2"/>
  <c r="B178" i="2"/>
  <c r="A178" i="2"/>
  <c r="A177" i="2"/>
  <c r="A176" i="2"/>
  <c r="A175" i="2"/>
  <c r="B174" i="2"/>
  <c r="A174" i="2"/>
  <c r="B173" i="2"/>
  <c r="A173" i="2"/>
  <c r="A172" i="2"/>
  <c r="A171" i="2"/>
  <c r="B170" i="2"/>
  <c r="A170" i="2"/>
  <c r="A169" i="2"/>
  <c r="A168" i="2"/>
  <c r="A167" i="2"/>
  <c r="B166" i="2"/>
  <c r="A166" i="2"/>
  <c r="B165" i="2"/>
  <c r="A165" i="2"/>
  <c r="A164" i="2"/>
  <c r="A163" i="2"/>
  <c r="B162" i="2"/>
  <c r="A162" i="2"/>
  <c r="A161" i="2"/>
  <c r="A160" i="2"/>
  <c r="A159" i="2"/>
  <c r="B158" i="2"/>
  <c r="A158" i="2"/>
  <c r="B157" i="2"/>
  <c r="A157" i="2"/>
  <c r="A156" i="2"/>
  <c r="A155" i="2"/>
  <c r="B154" i="2"/>
  <c r="A154" i="2"/>
  <c r="B153" i="2"/>
  <c r="A153" i="2"/>
  <c r="A152" i="2"/>
  <c r="A151" i="2"/>
  <c r="B150" i="2"/>
  <c r="A150" i="2"/>
  <c r="B149" i="2"/>
  <c r="A149" i="2"/>
  <c r="A148" i="2"/>
  <c r="A147" i="2"/>
  <c r="B146" i="2"/>
  <c r="A146" i="2"/>
  <c r="B145" i="2"/>
  <c r="A145" i="2"/>
  <c r="A144" i="2"/>
  <c r="A143" i="2"/>
  <c r="B142" i="2"/>
  <c r="A142" i="2"/>
  <c r="B141" i="2"/>
  <c r="A141" i="2"/>
  <c r="A140" i="2"/>
  <c r="A139" i="2"/>
  <c r="B138" i="2"/>
  <c r="A138" i="2"/>
  <c r="B137" i="2"/>
  <c r="A137" i="2"/>
  <c r="A136" i="2"/>
  <c r="A135" i="2"/>
  <c r="B134" i="2"/>
  <c r="A134" i="2"/>
  <c r="A133" i="2"/>
  <c r="A132" i="2"/>
  <c r="A131" i="2"/>
  <c r="B130" i="2"/>
  <c r="A130" i="2"/>
  <c r="B129" i="2"/>
  <c r="A129" i="2"/>
  <c r="A128" i="2"/>
  <c r="A127" i="2"/>
  <c r="B126" i="2"/>
  <c r="A126" i="2"/>
  <c r="A125" i="2"/>
  <c r="A124" i="2"/>
  <c r="A123" i="2"/>
  <c r="B122" i="2"/>
  <c r="A122" i="2"/>
  <c r="B121" i="2"/>
  <c r="A121" i="2"/>
  <c r="A120" i="2"/>
  <c r="A119" i="2"/>
  <c r="B118" i="2"/>
  <c r="A118" i="2"/>
  <c r="B117" i="2"/>
  <c r="A117" i="2"/>
  <c r="A116" i="2"/>
  <c r="A115" i="2"/>
  <c r="B114" i="2"/>
  <c r="A114" i="2"/>
  <c r="B113" i="2"/>
  <c r="A113" i="2"/>
  <c r="A112" i="2"/>
  <c r="A111" i="2"/>
  <c r="B110" i="2"/>
  <c r="A110" i="2"/>
  <c r="B109" i="2"/>
  <c r="A109" i="2"/>
  <c r="A108" i="2"/>
  <c r="A107" i="2"/>
  <c r="B106" i="2"/>
  <c r="A106" i="2"/>
  <c r="A105" i="2"/>
  <c r="A104" i="2"/>
  <c r="A103" i="2"/>
  <c r="B102" i="2"/>
  <c r="A102" i="2"/>
  <c r="B101" i="2"/>
  <c r="A101" i="2"/>
  <c r="A100" i="2"/>
  <c r="A99" i="2"/>
  <c r="B98" i="2"/>
  <c r="A98" i="2"/>
  <c r="A97" i="2"/>
  <c r="A96" i="2"/>
  <c r="A95" i="2"/>
  <c r="B94" i="2"/>
  <c r="A94" i="2"/>
  <c r="B93" i="2"/>
  <c r="A93" i="2"/>
  <c r="A92" i="2"/>
  <c r="A91" i="2"/>
  <c r="B90" i="2"/>
  <c r="A90" i="2"/>
  <c r="B89" i="2"/>
  <c r="A89" i="2"/>
  <c r="A88" i="2"/>
  <c r="A87" i="2"/>
  <c r="B86" i="2"/>
  <c r="A86" i="2"/>
  <c r="B85" i="2"/>
  <c r="A85" i="2"/>
  <c r="A84" i="2"/>
  <c r="A83" i="2"/>
  <c r="B82" i="2"/>
  <c r="A82" i="2"/>
  <c r="B81" i="2"/>
  <c r="A81" i="2"/>
  <c r="A80" i="2"/>
  <c r="A79" i="2"/>
  <c r="B78" i="2"/>
  <c r="A78" i="2"/>
  <c r="B77" i="2"/>
  <c r="A77" i="2"/>
  <c r="A76" i="2"/>
  <c r="B75" i="2"/>
  <c r="A75" i="2"/>
  <c r="B74" i="2"/>
  <c r="A74" i="2"/>
  <c r="B73" i="2"/>
  <c r="A73" i="2"/>
  <c r="A72" i="2"/>
  <c r="A71" i="2"/>
  <c r="B70" i="2"/>
  <c r="A70" i="2"/>
  <c r="A69" i="2"/>
  <c r="A68" i="2"/>
  <c r="A67" i="2"/>
  <c r="B66" i="2"/>
  <c r="A66" i="2"/>
  <c r="B65" i="2"/>
  <c r="A65" i="2"/>
  <c r="A64" i="2"/>
  <c r="A63" i="2"/>
  <c r="B62" i="2"/>
  <c r="A62" i="2"/>
  <c r="A61" i="2"/>
  <c r="A60" i="2"/>
  <c r="A59" i="2"/>
  <c r="B58" i="2"/>
  <c r="A58" i="2"/>
  <c r="B57" i="2"/>
  <c r="A57" i="2"/>
  <c r="A56" i="2"/>
  <c r="A55" i="2"/>
  <c r="B54" i="2"/>
  <c r="A54" i="2"/>
  <c r="B53" i="2"/>
  <c r="A53" i="2"/>
  <c r="A52" i="2"/>
  <c r="A51" i="2"/>
  <c r="B50" i="2"/>
  <c r="A50" i="2"/>
  <c r="B49" i="2"/>
  <c r="A49" i="2"/>
  <c r="A48" i="2"/>
  <c r="A47" i="2"/>
  <c r="B46" i="2"/>
  <c r="A46" i="2"/>
  <c r="B45" i="2"/>
  <c r="A45" i="2"/>
  <c r="A44" i="2"/>
  <c r="A43" i="2"/>
  <c r="B42" i="2"/>
  <c r="A42" i="2"/>
  <c r="A41" i="2"/>
  <c r="A40" i="2"/>
  <c r="A39" i="2"/>
  <c r="B38" i="2"/>
  <c r="A38" i="2"/>
  <c r="B37" i="2"/>
  <c r="A37" i="2"/>
  <c r="A36" i="2"/>
  <c r="A35" i="2"/>
  <c r="B34" i="2"/>
  <c r="A34" i="2"/>
  <c r="A33" i="2"/>
  <c r="A32" i="2"/>
  <c r="A31" i="2"/>
  <c r="B30" i="2"/>
  <c r="A30" i="2"/>
  <c r="B29" i="2"/>
  <c r="A29" i="2"/>
  <c r="A28" i="2"/>
  <c r="A27" i="2"/>
  <c r="B26" i="2"/>
  <c r="A26" i="2"/>
  <c r="B25" i="2"/>
  <c r="A25" i="2"/>
  <c r="A24" i="2"/>
  <c r="A23" i="2"/>
  <c r="B22" i="2"/>
  <c r="A22" i="2"/>
  <c r="B21" i="2"/>
  <c r="A21" i="2"/>
  <c r="A20" i="2"/>
  <c r="A19" i="2"/>
  <c r="B18" i="2"/>
  <c r="A18" i="2"/>
  <c r="B17" i="2"/>
  <c r="A17" i="2"/>
  <c r="A16" i="2"/>
  <c r="A15" i="2"/>
  <c r="B14" i="2"/>
  <c r="A14" i="2"/>
  <c r="B13" i="2"/>
  <c r="A13" i="2"/>
  <c r="A12" i="2"/>
  <c r="A11" i="2"/>
  <c r="B10" i="2"/>
  <c r="A10" i="2"/>
  <c r="B9" i="2"/>
  <c r="A9" i="2"/>
  <c r="A8" i="2"/>
  <c r="A7" i="2"/>
  <c r="B6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<sst xmlns="http://schemas.openxmlformats.org/spreadsheetml/2006/main" count="123" uniqueCount="54">
  <si>
    <t>FRED Graph Observations</t>
  </si>
  <si>
    <t>Federal Reserve Economic Data</t>
  </si>
  <si>
    <t>Link: http://research.stlouisfed.org/fred2</t>
  </si>
  <si>
    <t>Help: http://research.stlouisfed.org/fred2/help-faq</t>
  </si>
  <si>
    <t>Economic Research Division</t>
  </si>
  <si>
    <t>Federal Reserve Bank of St. Louis</t>
  </si>
  <si>
    <t>Frequency: Quarterly</t>
  </si>
  <si>
    <t>observation_date</t>
  </si>
  <si>
    <t>output gap</t>
  </si>
  <si>
    <t>date</t>
  </si>
  <si>
    <t>GDPC1</t>
  </si>
  <si>
    <t>GDPPOT</t>
  </si>
  <si>
    <t>GDP</t>
  </si>
  <si>
    <t>Real Gross Domestic Product, Billions of Chained 2009 Dollars, Quarterly, Seasonally Adjusted Annual Rate</t>
  </si>
  <si>
    <t>Real Potential Gross Domestic Product, Billions of Chained 2009 Dollars, Quarterly, Not Seasonally Adjusted</t>
  </si>
  <si>
    <t>data from 2014</t>
  </si>
  <si>
    <t>data from 2015</t>
  </si>
  <si>
    <t>potential GDP (2014 est.)</t>
  </si>
  <si>
    <t>potential GDP (2015 est.)</t>
  </si>
  <si>
    <t>data from 2016</t>
  </si>
  <si>
    <t>potential GDP (2016 est.)</t>
  </si>
  <si>
    <t>potential GDP 2014 est</t>
  </si>
  <si>
    <t>GDP 2014 est</t>
  </si>
  <si>
    <t>potential GDP 2015 est</t>
  </si>
  <si>
    <t>GDP 2015 est</t>
  </si>
  <si>
    <t>potential GDP 2016 est</t>
  </si>
  <si>
    <t>GDP 2016 est</t>
  </si>
  <si>
    <t>GDP 2022 est</t>
  </si>
  <si>
    <t>potential GDP 2022 est</t>
  </si>
  <si>
    <t>ratio</t>
  </si>
  <si>
    <t>mean ratio</t>
  </si>
  <si>
    <t>variable</t>
  </si>
  <si>
    <t>downloaded</t>
  </si>
  <si>
    <t>units</t>
  </si>
  <si>
    <t>code</t>
  </si>
  <si>
    <t>real GDP</t>
  </si>
  <si>
    <t>potential GDP (real)</t>
  </si>
  <si>
    <t>2009 USD bn</t>
  </si>
  <si>
    <t>2017 USD bn</t>
  </si>
  <si>
    <t>2012 USD bn</t>
  </si>
  <si>
    <t>GDPDEF</t>
  </si>
  <si>
    <t>GDP deflator</t>
  </si>
  <si>
    <t>2017=100</t>
  </si>
  <si>
    <t>GDP 2024 est</t>
  </si>
  <si>
    <t>potential GDP 2024 est</t>
  </si>
  <si>
    <t>deflator ratios</t>
  </si>
  <si>
    <t>2017/2012</t>
  </si>
  <si>
    <t>2017/2009</t>
  </si>
  <si>
    <t>deflator from 2009 dollars</t>
  </si>
  <si>
    <t>deflator from 2012 dollars</t>
  </si>
  <si>
    <t>deflator from 2017 dollars</t>
  </si>
  <si>
    <t>2012/2009</t>
  </si>
  <si>
    <t>GDP 2025 est</t>
  </si>
  <si>
    <t>potential GDP 2025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</si>
</sst>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[$-409]mmm\-yyyy;@"/>
    <numFmt numFmtId="167" formatCode="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/>
    <xf numFmtId="166" fontId="2" fillId="2" borderId="0" xfId="0" applyNumberFormat="1" applyFont="1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14" fontId="0" fillId="0" borderId="0" xfId="0" applyNumberFormat="1"/>
    <xf numFmtId="0" fontId="0" fillId="4" borderId="0" xfId="0" applyFill="1"/>
    <xf numFmtId="165" fontId="0" fillId="4" borderId="0" xfId="0" applyNumberFormat="1" applyFill="1"/>
    <xf numFmtId="0" fontId="0" fillId="5" borderId="0" xfId="0" applyFill="1"/>
    <xf numFmtId="0" fontId="0" fillId="6" borderId="0" xfId="0" applyFill="1"/>
    <xf numFmtId="167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graph!$B$1</c:f>
              <c:strCache>
                <c:ptCount val="1"/>
                <c:pt idx="0">
                  <c:v>output gap</c:v>
                </c:pt>
              </c:strCache>
            </c:strRef>
          </c:tx>
          <c:marker>
            <c:symbol val="none"/>
          </c:marker>
          <c:cat>
            <c:numRef>
              <c:f>graph!$A$2:$A$264</c:f>
              <c:numCache>
                <c:formatCode>[$-409]mmm\-yyyy;@</c:formatCode>
                <c:ptCount val="263"/>
                <c:pt idx="0">
                  <c:v>17899</c:v>
                </c:pt>
                <c:pt idx="1">
                  <c:v>17989</c:v>
                </c:pt>
                <c:pt idx="2">
                  <c:v>18080</c:v>
                </c:pt>
                <c:pt idx="3">
                  <c:v>18172</c:v>
                </c:pt>
                <c:pt idx="4">
                  <c:v>18264</c:v>
                </c:pt>
                <c:pt idx="5">
                  <c:v>18354</c:v>
                </c:pt>
                <c:pt idx="6">
                  <c:v>18445</c:v>
                </c:pt>
                <c:pt idx="7">
                  <c:v>18537</c:v>
                </c:pt>
                <c:pt idx="8">
                  <c:v>18629</c:v>
                </c:pt>
                <c:pt idx="9">
                  <c:v>18719</c:v>
                </c:pt>
                <c:pt idx="10">
                  <c:v>18810</c:v>
                </c:pt>
                <c:pt idx="11">
                  <c:v>18902</c:v>
                </c:pt>
                <c:pt idx="12">
                  <c:v>18994</c:v>
                </c:pt>
                <c:pt idx="13">
                  <c:v>19085</c:v>
                </c:pt>
                <c:pt idx="14">
                  <c:v>19176</c:v>
                </c:pt>
                <c:pt idx="15">
                  <c:v>19268</c:v>
                </c:pt>
                <c:pt idx="16">
                  <c:v>19360</c:v>
                </c:pt>
                <c:pt idx="17">
                  <c:v>19450</c:v>
                </c:pt>
                <c:pt idx="18">
                  <c:v>19541</c:v>
                </c:pt>
                <c:pt idx="19">
                  <c:v>19633</c:v>
                </c:pt>
                <c:pt idx="20">
                  <c:v>19725</c:v>
                </c:pt>
                <c:pt idx="21">
                  <c:v>19815</c:v>
                </c:pt>
                <c:pt idx="22">
                  <c:v>19906</c:v>
                </c:pt>
                <c:pt idx="23">
                  <c:v>19998</c:v>
                </c:pt>
                <c:pt idx="24">
                  <c:v>20090</c:v>
                </c:pt>
                <c:pt idx="25">
                  <c:v>20180</c:v>
                </c:pt>
                <c:pt idx="26">
                  <c:v>20271</c:v>
                </c:pt>
                <c:pt idx="27">
                  <c:v>20363</c:v>
                </c:pt>
                <c:pt idx="28">
                  <c:v>20455</c:v>
                </c:pt>
                <c:pt idx="29">
                  <c:v>20546</c:v>
                </c:pt>
                <c:pt idx="30">
                  <c:v>20637</c:v>
                </c:pt>
                <c:pt idx="31">
                  <c:v>20729</c:v>
                </c:pt>
                <c:pt idx="32">
                  <c:v>20821</c:v>
                </c:pt>
                <c:pt idx="33">
                  <c:v>20911</c:v>
                </c:pt>
                <c:pt idx="34">
                  <c:v>21002</c:v>
                </c:pt>
                <c:pt idx="35">
                  <c:v>21094</c:v>
                </c:pt>
                <c:pt idx="36">
                  <c:v>21186</c:v>
                </c:pt>
                <c:pt idx="37">
                  <c:v>21276</c:v>
                </c:pt>
                <c:pt idx="38">
                  <c:v>21367</c:v>
                </c:pt>
                <c:pt idx="39">
                  <c:v>21459</c:v>
                </c:pt>
                <c:pt idx="40">
                  <c:v>21551</c:v>
                </c:pt>
                <c:pt idx="41">
                  <c:v>21641</c:v>
                </c:pt>
                <c:pt idx="42">
                  <c:v>21732</c:v>
                </c:pt>
                <c:pt idx="43">
                  <c:v>21824</c:v>
                </c:pt>
                <c:pt idx="44">
                  <c:v>21916</c:v>
                </c:pt>
                <c:pt idx="45">
                  <c:v>22007</c:v>
                </c:pt>
                <c:pt idx="46">
                  <c:v>22098</c:v>
                </c:pt>
                <c:pt idx="47">
                  <c:v>22190</c:v>
                </c:pt>
                <c:pt idx="48">
                  <c:v>22282</c:v>
                </c:pt>
                <c:pt idx="49">
                  <c:v>22372</c:v>
                </c:pt>
                <c:pt idx="50">
                  <c:v>22463</c:v>
                </c:pt>
                <c:pt idx="51">
                  <c:v>22555</c:v>
                </c:pt>
                <c:pt idx="52">
                  <c:v>22647</c:v>
                </c:pt>
                <c:pt idx="53">
                  <c:v>22737</c:v>
                </c:pt>
                <c:pt idx="54">
                  <c:v>22828</c:v>
                </c:pt>
                <c:pt idx="55">
                  <c:v>22920</c:v>
                </c:pt>
                <c:pt idx="56">
                  <c:v>23012</c:v>
                </c:pt>
                <c:pt idx="57">
                  <c:v>23102</c:v>
                </c:pt>
                <c:pt idx="58">
                  <c:v>23193</c:v>
                </c:pt>
                <c:pt idx="59">
                  <c:v>23285</c:v>
                </c:pt>
                <c:pt idx="60">
                  <c:v>23377</c:v>
                </c:pt>
                <c:pt idx="61">
                  <c:v>23468</c:v>
                </c:pt>
                <c:pt idx="62">
                  <c:v>23559</c:v>
                </c:pt>
                <c:pt idx="63">
                  <c:v>23651</c:v>
                </c:pt>
                <c:pt idx="64">
                  <c:v>23743</c:v>
                </c:pt>
                <c:pt idx="65">
                  <c:v>23833</c:v>
                </c:pt>
                <c:pt idx="66">
                  <c:v>23924</c:v>
                </c:pt>
                <c:pt idx="67">
                  <c:v>24016</c:v>
                </c:pt>
                <c:pt idx="68">
                  <c:v>24108</c:v>
                </c:pt>
                <c:pt idx="69">
                  <c:v>24198</c:v>
                </c:pt>
                <c:pt idx="70">
                  <c:v>24289</c:v>
                </c:pt>
                <c:pt idx="71">
                  <c:v>24381</c:v>
                </c:pt>
                <c:pt idx="72">
                  <c:v>24473</c:v>
                </c:pt>
                <c:pt idx="73">
                  <c:v>24563</c:v>
                </c:pt>
                <c:pt idx="74">
                  <c:v>24654</c:v>
                </c:pt>
                <c:pt idx="75">
                  <c:v>24746</c:v>
                </c:pt>
                <c:pt idx="76">
                  <c:v>24838</c:v>
                </c:pt>
                <c:pt idx="77">
                  <c:v>24929</c:v>
                </c:pt>
                <c:pt idx="78">
                  <c:v>25020</c:v>
                </c:pt>
                <c:pt idx="79">
                  <c:v>25112</c:v>
                </c:pt>
                <c:pt idx="80">
                  <c:v>25204</c:v>
                </c:pt>
                <c:pt idx="81">
                  <c:v>25294</c:v>
                </c:pt>
                <c:pt idx="82">
                  <c:v>25385</c:v>
                </c:pt>
                <c:pt idx="83">
                  <c:v>25477</c:v>
                </c:pt>
                <c:pt idx="84">
                  <c:v>25569</c:v>
                </c:pt>
                <c:pt idx="85">
                  <c:v>25659</c:v>
                </c:pt>
                <c:pt idx="86">
                  <c:v>25750</c:v>
                </c:pt>
                <c:pt idx="87">
                  <c:v>25842</c:v>
                </c:pt>
                <c:pt idx="88">
                  <c:v>25934</c:v>
                </c:pt>
                <c:pt idx="89">
                  <c:v>26024</c:v>
                </c:pt>
                <c:pt idx="90">
                  <c:v>26115</c:v>
                </c:pt>
                <c:pt idx="91">
                  <c:v>26207</c:v>
                </c:pt>
                <c:pt idx="92">
                  <c:v>26299</c:v>
                </c:pt>
                <c:pt idx="93">
                  <c:v>26390</c:v>
                </c:pt>
                <c:pt idx="94">
                  <c:v>26481</c:v>
                </c:pt>
                <c:pt idx="95">
                  <c:v>26573</c:v>
                </c:pt>
                <c:pt idx="96">
                  <c:v>26665</c:v>
                </c:pt>
                <c:pt idx="97">
                  <c:v>26755</c:v>
                </c:pt>
                <c:pt idx="98">
                  <c:v>26846</c:v>
                </c:pt>
                <c:pt idx="99">
                  <c:v>26938</c:v>
                </c:pt>
                <c:pt idx="100">
                  <c:v>27030</c:v>
                </c:pt>
                <c:pt idx="101">
                  <c:v>27120</c:v>
                </c:pt>
                <c:pt idx="102">
                  <c:v>27211</c:v>
                </c:pt>
                <c:pt idx="103">
                  <c:v>27303</c:v>
                </c:pt>
                <c:pt idx="104">
                  <c:v>27395</c:v>
                </c:pt>
                <c:pt idx="105">
                  <c:v>27485</c:v>
                </c:pt>
                <c:pt idx="106">
                  <c:v>27576</c:v>
                </c:pt>
                <c:pt idx="107">
                  <c:v>27668</c:v>
                </c:pt>
                <c:pt idx="108">
                  <c:v>27760</c:v>
                </c:pt>
                <c:pt idx="109">
                  <c:v>27851</c:v>
                </c:pt>
                <c:pt idx="110">
                  <c:v>27942</c:v>
                </c:pt>
                <c:pt idx="111">
                  <c:v>28034</c:v>
                </c:pt>
                <c:pt idx="112">
                  <c:v>28126</c:v>
                </c:pt>
                <c:pt idx="113">
                  <c:v>28216</c:v>
                </c:pt>
                <c:pt idx="114">
                  <c:v>28307</c:v>
                </c:pt>
                <c:pt idx="115">
                  <c:v>28399</c:v>
                </c:pt>
                <c:pt idx="116">
                  <c:v>28491</c:v>
                </c:pt>
                <c:pt idx="117">
                  <c:v>28581</c:v>
                </c:pt>
                <c:pt idx="118">
                  <c:v>28672</c:v>
                </c:pt>
                <c:pt idx="119">
                  <c:v>28764</c:v>
                </c:pt>
                <c:pt idx="120">
                  <c:v>28856</c:v>
                </c:pt>
                <c:pt idx="121">
                  <c:v>28946</c:v>
                </c:pt>
                <c:pt idx="122">
                  <c:v>29037</c:v>
                </c:pt>
                <c:pt idx="123">
                  <c:v>29129</c:v>
                </c:pt>
                <c:pt idx="124">
                  <c:v>29221</c:v>
                </c:pt>
                <c:pt idx="125">
                  <c:v>29312</c:v>
                </c:pt>
                <c:pt idx="126">
                  <c:v>29403</c:v>
                </c:pt>
                <c:pt idx="127">
                  <c:v>29495</c:v>
                </c:pt>
                <c:pt idx="128">
                  <c:v>29587</c:v>
                </c:pt>
                <c:pt idx="129">
                  <c:v>29677</c:v>
                </c:pt>
                <c:pt idx="130">
                  <c:v>29768</c:v>
                </c:pt>
                <c:pt idx="131">
                  <c:v>29860</c:v>
                </c:pt>
                <c:pt idx="132">
                  <c:v>29952</c:v>
                </c:pt>
                <c:pt idx="133">
                  <c:v>30042</c:v>
                </c:pt>
                <c:pt idx="134">
                  <c:v>30133</c:v>
                </c:pt>
                <c:pt idx="135">
                  <c:v>30225</c:v>
                </c:pt>
                <c:pt idx="136">
                  <c:v>30317</c:v>
                </c:pt>
                <c:pt idx="137">
                  <c:v>30407</c:v>
                </c:pt>
                <c:pt idx="138">
                  <c:v>30498</c:v>
                </c:pt>
                <c:pt idx="139">
                  <c:v>30590</c:v>
                </c:pt>
                <c:pt idx="140">
                  <c:v>30682</c:v>
                </c:pt>
                <c:pt idx="141">
                  <c:v>30773</c:v>
                </c:pt>
                <c:pt idx="142">
                  <c:v>30864</c:v>
                </c:pt>
                <c:pt idx="143">
                  <c:v>30956</c:v>
                </c:pt>
                <c:pt idx="144">
                  <c:v>31048</c:v>
                </c:pt>
                <c:pt idx="145">
                  <c:v>31138</c:v>
                </c:pt>
                <c:pt idx="146">
                  <c:v>31229</c:v>
                </c:pt>
                <c:pt idx="147">
                  <c:v>31321</c:v>
                </c:pt>
                <c:pt idx="148">
                  <c:v>31413</c:v>
                </c:pt>
                <c:pt idx="149">
                  <c:v>31503</c:v>
                </c:pt>
                <c:pt idx="150">
                  <c:v>31594</c:v>
                </c:pt>
                <c:pt idx="151">
                  <c:v>31686</c:v>
                </c:pt>
                <c:pt idx="152">
                  <c:v>31778</c:v>
                </c:pt>
                <c:pt idx="153">
                  <c:v>31868</c:v>
                </c:pt>
                <c:pt idx="154">
                  <c:v>31959</c:v>
                </c:pt>
                <c:pt idx="155">
                  <c:v>32051</c:v>
                </c:pt>
                <c:pt idx="156">
                  <c:v>32143</c:v>
                </c:pt>
                <c:pt idx="157">
                  <c:v>32234</c:v>
                </c:pt>
                <c:pt idx="158">
                  <c:v>32325</c:v>
                </c:pt>
                <c:pt idx="159">
                  <c:v>32417</c:v>
                </c:pt>
                <c:pt idx="160">
                  <c:v>32509</c:v>
                </c:pt>
                <c:pt idx="161">
                  <c:v>32599</c:v>
                </c:pt>
                <c:pt idx="162">
                  <c:v>32690</c:v>
                </c:pt>
                <c:pt idx="163">
                  <c:v>32782</c:v>
                </c:pt>
                <c:pt idx="164">
                  <c:v>32874</c:v>
                </c:pt>
                <c:pt idx="165">
                  <c:v>32964</c:v>
                </c:pt>
                <c:pt idx="166">
                  <c:v>33055</c:v>
                </c:pt>
                <c:pt idx="167">
                  <c:v>33147</c:v>
                </c:pt>
                <c:pt idx="168">
                  <c:v>33239</c:v>
                </c:pt>
                <c:pt idx="169">
                  <c:v>33329</c:v>
                </c:pt>
                <c:pt idx="170">
                  <c:v>33420</c:v>
                </c:pt>
                <c:pt idx="171">
                  <c:v>33512</c:v>
                </c:pt>
                <c:pt idx="172">
                  <c:v>33604</c:v>
                </c:pt>
                <c:pt idx="173">
                  <c:v>33695</c:v>
                </c:pt>
                <c:pt idx="174">
                  <c:v>33786</c:v>
                </c:pt>
                <c:pt idx="175">
                  <c:v>33878</c:v>
                </c:pt>
                <c:pt idx="176">
                  <c:v>33970</c:v>
                </c:pt>
                <c:pt idx="177">
                  <c:v>34060</c:v>
                </c:pt>
                <c:pt idx="178">
                  <c:v>34151</c:v>
                </c:pt>
                <c:pt idx="179">
                  <c:v>34243</c:v>
                </c:pt>
                <c:pt idx="180">
                  <c:v>34335</c:v>
                </c:pt>
                <c:pt idx="181">
                  <c:v>34425</c:v>
                </c:pt>
                <c:pt idx="182">
                  <c:v>34516</c:v>
                </c:pt>
                <c:pt idx="183">
                  <c:v>34608</c:v>
                </c:pt>
                <c:pt idx="184">
                  <c:v>34700</c:v>
                </c:pt>
                <c:pt idx="185">
                  <c:v>34790</c:v>
                </c:pt>
                <c:pt idx="186">
                  <c:v>34881</c:v>
                </c:pt>
                <c:pt idx="187">
                  <c:v>34973</c:v>
                </c:pt>
                <c:pt idx="188">
                  <c:v>35065</c:v>
                </c:pt>
                <c:pt idx="189">
                  <c:v>35156</c:v>
                </c:pt>
                <c:pt idx="190">
                  <c:v>35247</c:v>
                </c:pt>
                <c:pt idx="191">
                  <c:v>35339</c:v>
                </c:pt>
                <c:pt idx="192">
                  <c:v>35431</c:v>
                </c:pt>
                <c:pt idx="193">
                  <c:v>35521</c:v>
                </c:pt>
                <c:pt idx="194">
                  <c:v>35612</c:v>
                </c:pt>
                <c:pt idx="195">
                  <c:v>35704</c:v>
                </c:pt>
                <c:pt idx="196">
                  <c:v>35796</c:v>
                </c:pt>
                <c:pt idx="197">
                  <c:v>35886</c:v>
                </c:pt>
                <c:pt idx="198">
                  <c:v>35977</c:v>
                </c:pt>
                <c:pt idx="199">
                  <c:v>36069</c:v>
                </c:pt>
                <c:pt idx="200">
                  <c:v>36161</c:v>
                </c:pt>
                <c:pt idx="201">
                  <c:v>36251</c:v>
                </c:pt>
                <c:pt idx="202">
                  <c:v>36342</c:v>
                </c:pt>
                <c:pt idx="203">
                  <c:v>36434</c:v>
                </c:pt>
                <c:pt idx="204">
                  <c:v>36526</c:v>
                </c:pt>
                <c:pt idx="205">
                  <c:v>36617</c:v>
                </c:pt>
                <c:pt idx="206">
                  <c:v>36708</c:v>
                </c:pt>
                <c:pt idx="207">
                  <c:v>36800</c:v>
                </c:pt>
                <c:pt idx="208">
                  <c:v>36892</c:v>
                </c:pt>
                <c:pt idx="209">
                  <c:v>36982</c:v>
                </c:pt>
                <c:pt idx="210">
                  <c:v>37073</c:v>
                </c:pt>
                <c:pt idx="211">
                  <c:v>37165</c:v>
                </c:pt>
                <c:pt idx="212">
                  <c:v>37257</c:v>
                </c:pt>
                <c:pt idx="213">
                  <c:v>37347</c:v>
                </c:pt>
                <c:pt idx="214">
                  <c:v>37438</c:v>
                </c:pt>
                <c:pt idx="215">
                  <c:v>37530</c:v>
                </c:pt>
                <c:pt idx="216">
                  <c:v>37622</c:v>
                </c:pt>
                <c:pt idx="217">
                  <c:v>37712</c:v>
                </c:pt>
                <c:pt idx="218">
                  <c:v>37803</c:v>
                </c:pt>
                <c:pt idx="219">
                  <c:v>37895</c:v>
                </c:pt>
                <c:pt idx="220">
                  <c:v>37987</c:v>
                </c:pt>
                <c:pt idx="221">
                  <c:v>38078</c:v>
                </c:pt>
                <c:pt idx="222">
                  <c:v>38169</c:v>
                </c:pt>
                <c:pt idx="223">
                  <c:v>38261</c:v>
                </c:pt>
                <c:pt idx="224">
                  <c:v>38353</c:v>
                </c:pt>
                <c:pt idx="225">
                  <c:v>38443</c:v>
                </c:pt>
                <c:pt idx="226">
                  <c:v>38534</c:v>
                </c:pt>
                <c:pt idx="227">
                  <c:v>38626</c:v>
                </c:pt>
                <c:pt idx="228">
                  <c:v>38718</c:v>
                </c:pt>
                <c:pt idx="229">
                  <c:v>38808</c:v>
                </c:pt>
                <c:pt idx="230">
                  <c:v>38899</c:v>
                </c:pt>
                <c:pt idx="231">
                  <c:v>38991</c:v>
                </c:pt>
                <c:pt idx="232">
                  <c:v>39083</c:v>
                </c:pt>
                <c:pt idx="233">
                  <c:v>39173</c:v>
                </c:pt>
                <c:pt idx="234">
                  <c:v>39264</c:v>
                </c:pt>
                <c:pt idx="235">
                  <c:v>39356</c:v>
                </c:pt>
                <c:pt idx="236">
                  <c:v>39448</c:v>
                </c:pt>
                <c:pt idx="237">
                  <c:v>39539</c:v>
                </c:pt>
                <c:pt idx="238">
                  <c:v>39630</c:v>
                </c:pt>
                <c:pt idx="239">
                  <c:v>39722</c:v>
                </c:pt>
                <c:pt idx="240">
                  <c:v>39814</c:v>
                </c:pt>
                <c:pt idx="241">
                  <c:v>39904</c:v>
                </c:pt>
                <c:pt idx="242">
                  <c:v>39995</c:v>
                </c:pt>
                <c:pt idx="243">
                  <c:v>40087</c:v>
                </c:pt>
                <c:pt idx="244">
                  <c:v>40179</c:v>
                </c:pt>
                <c:pt idx="245">
                  <c:v>40269</c:v>
                </c:pt>
                <c:pt idx="246">
                  <c:v>40360</c:v>
                </c:pt>
                <c:pt idx="247">
                  <c:v>40452</c:v>
                </c:pt>
                <c:pt idx="248">
                  <c:v>40544</c:v>
                </c:pt>
                <c:pt idx="249">
                  <c:v>40634</c:v>
                </c:pt>
                <c:pt idx="250">
                  <c:v>40725</c:v>
                </c:pt>
                <c:pt idx="251">
                  <c:v>40817</c:v>
                </c:pt>
                <c:pt idx="252">
                  <c:v>40909</c:v>
                </c:pt>
                <c:pt idx="253">
                  <c:v>41000</c:v>
                </c:pt>
                <c:pt idx="254">
                  <c:v>41091</c:v>
                </c:pt>
                <c:pt idx="255">
                  <c:v>41183</c:v>
                </c:pt>
                <c:pt idx="256">
                  <c:v>41275</c:v>
                </c:pt>
                <c:pt idx="257">
                  <c:v>41365</c:v>
                </c:pt>
                <c:pt idx="258">
                  <c:v>41456</c:v>
                </c:pt>
                <c:pt idx="259">
                  <c:v>41548</c:v>
                </c:pt>
                <c:pt idx="260">
                  <c:v>41640</c:v>
                </c:pt>
                <c:pt idx="261">
                  <c:v>41730</c:v>
                </c:pt>
                <c:pt idx="262">
                  <c:v>41821</c:v>
                </c:pt>
              </c:numCache>
            </c:numRef>
          </c:cat>
          <c:val>
            <c:numRef>
              <c:f>graph!$B$2:$B$264</c:f>
              <c:numCache>
                <c:formatCode>General</c:formatCode>
                <c:ptCount val="263"/>
                <c:pt idx="0">
                  <c:v>-1.005966763647127</c:v>
                </c:pt>
                <c:pt idx="1">
                  <c:v>-2.3761893144669455</c:v>
                </c:pt>
                <c:pt idx="2">
                  <c:v>-2.3462392584725369</c:v>
                </c:pt>
                <c:pt idx="3">
                  <c:v>-4.2554207660712642</c:v>
                </c:pt>
                <c:pt idx="4">
                  <c:v>-1.5211640211640338</c:v>
                </c:pt>
                <c:pt idx="5">
                  <c:v>0.31763826606874657</c:v>
                </c:pt>
                <c:pt idx="6">
                  <c:v>2.9922423346878548</c:v>
                </c:pt>
                <c:pt idx="7">
                  <c:v>3.7561042398795208</c:v>
                </c:pt>
                <c:pt idx="8">
                  <c:v>3.9092794661376051</c:v>
                </c:pt>
                <c:pt idx="9">
                  <c:v>4.408817635270541</c:v>
                </c:pt>
                <c:pt idx="10">
                  <c:v>5.2427867698803778</c:v>
                </c:pt>
                <c:pt idx="11">
                  <c:v>4.1836823355634598</c:v>
                </c:pt>
                <c:pt idx="12">
                  <c:v>4.0262694767566725</c:v>
                </c:pt>
                <c:pt idx="13">
                  <c:v>3.011664899257688</c:v>
                </c:pt>
                <c:pt idx="14">
                  <c:v>2.574747347674764</c:v>
                </c:pt>
                <c:pt idx="15">
                  <c:v>4.7733587691286816</c:v>
                </c:pt>
                <c:pt idx="16">
                  <c:v>5.6143806944102517</c:v>
                </c:pt>
                <c:pt idx="17">
                  <c:v>5.3968382980452798</c:v>
                </c:pt>
                <c:pt idx="18">
                  <c:v>3.824630621200531</c:v>
                </c:pt>
                <c:pt idx="19">
                  <c:v>1.3406751256883076</c:v>
                </c:pt>
                <c:pt idx="20">
                  <c:v>1.5825288811524407E-2</c:v>
                </c:pt>
                <c:pt idx="21">
                  <c:v>-0.6789638932496147</c:v>
                </c:pt>
                <c:pt idx="22">
                  <c:v>-0.33877185467854909</c:v>
                </c:pt>
                <c:pt idx="23">
                  <c:v>0.82302936630603496</c:v>
                </c:pt>
                <c:pt idx="24">
                  <c:v>2.8946056818617487</c:v>
                </c:pt>
                <c:pt idx="25">
                  <c:v>3.7427256475600053</c:v>
                </c:pt>
                <c:pt idx="26">
                  <c:v>4.2938535260159121</c:v>
                </c:pt>
                <c:pt idx="27">
                  <c:v>4.0757513379991801</c:v>
                </c:pt>
                <c:pt idx="28">
                  <c:v>2.8020040823900536</c:v>
                </c:pt>
                <c:pt idx="29">
                  <c:v>2.7821734810289591</c:v>
                </c:pt>
                <c:pt idx="30">
                  <c:v>1.8244180106546013</c:v>
                </c:pt>
                <c:pt idx="31">
                  <c:v>2.6010201497666547</c:v>
                </c:pt>
                <c:pt idx="32">
                  <c:v>2.374206505756189</c:v>
                </c:pt>
                <c:pt idx="33">
                  <c:v>1.2513330963384224</c:v>
                </c:pt>
                <c:pt idx="34">
                  <c:v>1.3318769599379932</c:v>
                </c:pt>
                <c:pt idx="35">
                  <c:v>-0.59369979744359858</c:v>
                </c:pt>
                <c:pt idx="36">
                  <c:v>-4.025614399446181</c:v>
                </c:pt>
                <c:pt idx="37">
                  <c:v>-4.2211469165036553</c:v>
                </c:pt>
                <c:pt idx="38">
                  <c:v>-2.8377964544557521</c:v>
                </c:pt>
                <c:pt idx="39">
                  <c:v>-1.4068825910931111</c:v>
                </c:pt>
                <c:pt idx="40">
                  <c:v>-0.41485446637671763</c:v>
                </c:pt>
                <c:pt idx="41">
                  <c:v>1.1411132488555726</c:v>
                </c:pt>
                <c:pt idx="42">
                  <c:v>7.2347002532139104E-2</c:v>
                </c:pt>
                <c:pt idx="43">
                  <c:v>-0.42371500277044422</c:v>
                </c:pt>
                <c:pt idx="44">
                  <c:v>0.84923633310729196</c:v>
                </c:pt>
                <c:pt idx="45">
                  <c:v>-0.50207866965141734</c:v>
                </c:pt>
                <c:pt idx="46">
                  <c:v>-1.2286646188923076</c:v>
                </c:pt>
                <c:pt idx="47">
                  <c:v>-3.3923812509797715</c:v>
                </c:pt>
                <c:pt idx="48">
                  <c:v>-3.7001396864814469</c:v>
                </c:pt>
                <c:pt idx="49">
                  <c:v>-2.8888410830080828</c:v>
                </c:pt>
                <c:pt idx="50">
                  <c:v>-2.2545410289956465</c:v>
                </c:pt>
                <c:pt idx="51">
                  <c:v>-1.2681486836556528</c:v>
                </c:pt>
                <c:pt idx="52">
                  <c:v>-0.48611732426708798</c:v>
                </c:pt>
                <c:pt idx="53">
                  <c:v>-0.41632219203969417</c:v>
                </c:pt>
                <c:pt idx="54">
                  <c:v>-0.47063638223858956</c:v>
                </c:pt>
                <c:pt idx="55">
                  <c:v>-1.0823638363141774</c:v>
                </c:pt>
                <c:pt idx="56">
                  <c:v>-0.98553215871651878</c:v>
                </c:pt>
                <c:pt idx="57">
                  <c:v>-0.70336651635044045</c:v>
                </c:pt>
                <c:pt idx="58">
                  <c:v>0.21618282890672741</c:v>
                </c:pt>
                <c:pt idx="59">
                  <c:v>-8.6156582640835686E-2</c:v>
                </c:pt>
                <c:pt idx="60">
                  <c:v>1.0454783063251438</c:v>
                </c:pt>
                <c:pt idx="61">
                  <c:v>1.2174197238336542</c:v>
                </c:pt>
                <c:pt idx="62">
                  <c:v>1.5555915022107267</c:v>
                </c:pt>
                <c:pt idx="63">
                  <c:v>0.8779654684706224</c:v>
                </c:pt>
                <c:pt idx="64">
                  <c:v>2.3057419048122174</c:v>
                </c:pt>
                <c:pt idx="65">
                  <c:v>2.6268329020622598</c:v>
                </c:pt>
                <c:pt idx="66">
                  <c:v>3.6184465768305523</c:v>
                </c:pt>
                <c:pt idx="67">
                  <c:v>4.9417786308381411</c:v>
                </c:pt>
                <c:pt idx="68">
                  <c:v>6.3852950857027064</c:v>
                </c:pt>
                <c:pt idx="69">
                  <c:v>5.6571170990684303</c:v>
                </c:pt>
                <c:pt idx="70">
                  <c:v>5.2485572040720196</c:v>
                </c:pt>
                <c:pt idx="71">
                  <c:v>4.987751102400793</c:v>
                </c:pt>
                <c:pt idx="72">
                  <c:v>4.7927115892515149</c:v>
                </c:pt>
                <c:pt idx="73">
                  <c:v>3.7485319847566001</c:v>
                </c:pt>
                <c:pt idx="74">
                  <c:v>3.5185053465158864</c:v>
                </c:pt>
                <c:pt idx="75">
                  <c:v>3.2394267082639261</c:v>
                </c:pt>
                <c:pt idx="76">
                  <c:v>4.2362062161973952</c:v>
                </c:pt>
                <c:pt idx="77">
                  <c:v>4.8927275233151102</c:v>
                </c:pt>
                <c:pt idx="78">
                  <c:v>4.5580612894425752</c:v>
                </c:pt>
                <c:pt idx="79">
                  <c:v>3.9535564006210437</c:v>
                </c:pt>
                <c:pt idx="80">
                  <c:v>4.5039426203947244</c:v>
                </c:pt>
                <c:pt idx="81">
                  <c:v>3.7975521005623514</c:v>
                </c:pt>
                <c:pt idx="82">
                  <c:v>3.4263626834381675</c:v>
                </c:pt>
                <c:pt idx="83">
                  <c:v>1.9920404896829251</c:v>
                </c:pt>
                <c:pt idx="84">
                  <c:v>0.86786954099344271</c:v>
                </c:pt>
                <c:pt idx="85">
                  <c:v>0.13378352551441405</c:v>
                </c:pt>
                <c:pt idx="86">
                  <c:v>0.13049884234897532</c:v>
                </c:pt>
                <c:pt idx="87">
                  <c:v>-1.7548618646189686</c:v>
                </c:pt>
                <c:pt idx="88">
                  <c:v>2.2759248531001489E-2</c:v>
                </c:pt>
                <c:pt idx="89">
                  <c:v>-0.23188048920627477</c:v>
                </c:pt>
                <c:pt idx="90">
                  <c:v>-0.26460411154081009</c:v>
                </c:pt>
                <c:pt idx="91">
                  <c:v>-0.77934139594983665</c:v>
                </c:pt>
                <c:pt idx="92">
                  <c:v>0.18224420723768758</c:v>
                </c:pt>
                <c:pt idx="93">
                  <c:v>1.6725929163107569</c:v>
                </c:pt>
                <c:pt idx="94">
                  <c:v>1.7692489557884636</c:v>
                </c:pt>
                <c:pt idx="95">
                  <c:v>2.5985698096987222</c:v>
                </c:pt>
                <c:pt idx="96">
                  <c:v>4.2247791724779242</c:v>
                </c:pt>
                <c:pt idx="97">
                  <c:v>4.4714510617056336</c:v>
                </c:pt>
                <c:pt idx="98">
                  <c:v>2.9661339421613326</c:v>
                </c:pt>
                <c:pt idx="99">
                  <c:v>2.9806006447599014</c:v>
                </c:pt>
                <c:pt idx="100">
                  <c:v>1.1861399084710935</c:v>
                </c:pt>
                <c:pt idx="101">
                  <c:v>0.51076114514129878</c:v>
                </c:pt>
                <c:pt idx="102">
                  <c:v>-1.3824462331090472</c:v>
                </c:pt>
                <c:pt idx="103">
                  <c:v>-2.6706878383779662</c:v>
                </c:pt>
                <c:pt idx="104">
                  <c:v>-4.6929587610300807</c:v>
                </c:pt>
                <c:pt idx="105">
                  <c:v>-4.7693873542488854</c:v>
                </c:pt>
                <c:pt idx="106">
                  <c:v>-3.9933414793957747</c:v>
                </c:pt>
                <c:pt idx="107">
                  <c:v>-3.4884946425434804</c:v>
                </c:pt>
                <c:pt idx="108">
                  <c:v>-2.0894325944514085</c:v>
                </c:pt>
                <c:pt idx="109">
                  <c:v>-2.1164021164021105</c:v>
                </c:pt>
                <c:pt idx="110">
                  <c:v>-2.384710403513588</c:v>
                </c:pt>
                <c:pt idx="111">
                  <c:v>-2.4305141865096282</c:v>
                </c:pt>
                <c:pt idx="112">
                  <c:v>-2.1066846725185719</c:v>
                </c:pt>
                <c:pt idx="113">
                  <c:v>-1.0360006025205382</c:v>
                </c:pt>
                <c:pt idx="114">
                  <c:v>-0.16259083518597195</c:v>
                </c:pt>
                <c:pt idx="115">
                  <c:v>-1.0424888187319217</c:v>
                </c:pt>
                <c:pt idx="116">
                  <c:v>-1.6064387891426957</c:v>
                </c:pt>
                <c:pt idx="117">
                  <c:v>1.2343686970552643</c:v>
                </c:pt>
                <c:pt idx="118">
                  <c:v>1.2416901048325206</c:v>
                </c:pt>
                <c:pt idx="119">
                  <c:v>1.6336610153393141</c:v>
                </c:pt>
                <c:pt idx="120">
                  <c:v>0.91455284170235751</c:v>
                </c:pt>
                <c:pt idx="121">
                  <c:v>0.18042680271262931</c:v>
                </c:pt>
                <c:pt idx="122">
                  <c:v>9.4121277580625884E-2</c:v>
                </c:pt>
                <c:pt idx="123">
                  <c:v>-0.39206677387243077</c:v>
                </c:pt>
                <c:pt idx="124">
                  <c:v>-0.72120870927986458</c:v>
                </c:pt>
                <c:pt idx="125">
                  <c:v>-3.274322893024658</c:v>
                </c:pt>
                <c:pt idx="126">
                  <c:v>-3.925523428210187</c:v>
                </c:pt>
                <c:pt idx="127">
                  <c:v>-2.6431256270871706</c:v>
                </c:pt>
                <c:pt idx="128">
                  <c:v>-1.1573867190991125</c:v>
                </c:pt>
                <c:pt idx="129">
                  <c:v>-2.4522797612877354</c:v>
                </c:pt>
                <c:pt idx="130">
                  <c:v>-1.9368606961513042</c:v>
                </c:pt>
                <c:pt idx="131">
                  <c:v>-3.70689907290966</c:v>
                </c:pt>
                <c:pt idx="132">
                  <c:v>-5.9986643825672861</c:v>
                </c:pt>
                <c:pt idx="133">
                  <c:v>-6.1849727642159245</c:v>
                </c:pt>
                <c:pt idx="134">
                  <c:v>-7.224073570846258</c:v>
                </c:pt>
                <c:pt idx="135">
                  <c:v>-7.8378493463727565</c:v>
                </c:pt>
                <c:pt idx="136">
                  <c:v>-7.308824979920808</c:v>
                </c:pt>
                <c:pt idx="137">
                  <c:v>-5.8794729037853584</c:v>
                </c:pt>
                <c:pt idx="138">
                  <c:v>-4.7354534092487155</c:v>
                </c:pt>
                <c:pt idx="139">
                  <c:v>-3.4874905231235784</c:v>
                </c:pt>
                <c:pt idx="140">
                  <c:v>-2.3147008126077293</c:v>
                </c:pt>
                <c:pt idx="141">
                  <c:v>-1.3723174654884602</c:v>
                </c:pt>
                <c:pt idx="142">
                  <c:v>-1.1890974709795601</c:v>
                </c:pt>
                <c:pt idx="143">
                  <c:v>-1.2035639384993568</c:v>
                </c:pt>
                <c:pt idx="144">
                  <c:v>-1.0452546234963653</c:v>
                </c:pt>
                <c:pt idx="145">
                  <c:v>-0.97996715927750888</c:v>
                </c:pt>
                <c:pt idx="146">
                  <c:v>-0.29305651432069502</c:v>
                </c:pt>
                <c:pt idx="147">
                  <c:v>-0.40290296753531624</c:v>
                </c:pt>
                <c:pt idx="148">
                  <c:v>-0.33290226757659952</c:v>
                </c:pt>
                <c:pt idx="149">
                  <c:v>-0.72364411943936624</c:v>
                </c:pt>
                <c:pt idx="150">
                  <c:v>-0.56774550901971943</c:v>
                </c:pt>
                <c:pt idx="151">
                  <c:v>-0.88757396449704595</c:v>
                </c:pt>
                <c:pt idx="152">
                  <c:v>-1.0127773375594318</c:v>
                </c:pt>
                <c:pt idx="153">
                  <c:v>-0.71107508658168816</c:v>
                </c:pt>
                <c:pt idx="154">
                  <c:v>-0.61158353841281554</c:v>
                </c:pt>
                <c:pt idx="155">
                  <c:v>0.22964332765268258</c:v>
                </c:pt>
                <c:pt idx="156">
                  <c:v>5.9960665803233081E-3</c:v>
                </c:pt>
                <c:pt idx="157">
                  <c:v>0.54140885292717755</c:v>
                </c:pt>
                <c:pt idx="158">
                  <c:v>0.34478279864447114</c:v>
                </c:pt>
                <c:pt idx="159">
                  <c:v>0.89873684703895984</c:v>
                </c:pt>
                <c:pt idx="160">
                  <c:v>1.1395746363245229</c:v>
                </c:pt>
                <c:pt idx="161">
                  <c:v>1.1620929212731177</c:v>
                </c:pt>
                <c:pt idx="162">
                  <c:v>1.1487538940809885</c:v>
                </c:pt>
                <c:pt idx="163">
                  <c:v>0.60360800718418983</c:v>
                </c:pt>
                <c:pt idx="164">
                  <c:v>0.94888863815864122</c:v>
                </c:pt>
                <c:pt idx="165">
                  <c:v>0.59021166983985585</c:v>
                </c:pt>
                <c:pt idx="166">
                  <c:v>-0.12118112687330054</c:v>
                </c:pt>
                <c:pt idx="167">
                  <c:v>-1.6875820888933</c:v>
                </c:pt>
                <c:pt idx="168">
                  <c:v>-2.8469984877375158</c:v>
                </c:pt>
                <c:pt idx="169">
                  <c:v>-2.7749363396957367</c:v>
                </c:pt>
                <c:pt idx="170">
                  <c:v>-2.9806227102268545</c:v>
                </c:pt>
                <c:pt idx="171">
                  <c:v>-3.226360416443065</c:v>
                </c:pt>
                <c:pt idx="172">
                  <c:v>-2.7512765027555441</c:v>
                </c:pt>
                <c:pt idx="173">
                  <c:v>-2.3585954288980795</c:v>
                </c:pt>
                <c:pt idx="174">
                  <c:v>-2.0920502092050208</c:v>
                </c:pt>
                <c:pt idx="175">
                  <c:v>-1.8028645398363197</c:v>
                </c:pt>
                <c:pt idx="176">
                  <c:v>-2.3217006457229918</c:v>
                </c:pt>
                <c:pt idx="177">
                  <c:v>-2.446026878511586</c:v>
                </c:pt>
                <c:pt idx="178">
                  <c:v>-2.678653521990098</c:v>
                </c:pt>
                <c:pt idx="179">
                  <c:v>-2.0943204868154162</c:v>
                </c:pt>
                <c:pt idx="180">
                  <c:v>-1.8486075031716158</c:v>
                </c:pt>
                <c:pt idx="181">
                  <c:v>-1.2264971361741757</c:v>
                </c:pt>
                <c:pt idx="182">
                  <c:v>-1.3644663200095264</c:v>
                </c:pt>
                <c:pt idx="183">
                  <c:v>-0.97522533615721807</c:v>
                </c:pt>
                <c:pt idx="184">
                  <c:v>-1.3699031974186013</c:v>
                </c:pt>
                <c:pt idx="185">
                  <c:v>-1.7662872060636059</c:v>
                </c:pt>
                <c:pt idx="186">
                  <c:v>-1.673954500799425</c:v>
                </c:pt>
                <c:pt idx="187">
                  <c:v>-1.7337946590713553</c:v>
                </c:pt>
                <c:pt idx="188">
                  <c:v>-1.8550306800830645</c:v>
                </c:pt>
                <c:pt idx="189">
                  <c:v>-0.92121234932673068</c:v>
                </c:pt>
                <c:pt idx="190">
                  <c:v>-0.79259127869527202</c:v>
                </c:pt>
                <c:pt idx="191">
                  <c:v>-0.54178706379195374</c:v>
                </c:pt>
                <c:pt idx="192">
                  <c:v>-0.58705718065558987</c:v>
                </c:pt>
                <c:pt idx="193">
                  <c:v>9.7507632022606539E-2</c:v>
                </c:pt>
                <c:pt idx="194">
                  <c:v>0.54411684954537076</c:v>
                </c:pt>
                <c:pt idx="195">
                  <c:v>0.48763434595146643</c:v>
                </c:pt>
                <c:pt idx="196">
                  <c:v>0.63378341140811112</c:v>
                </c:pt>
                <c:pt idx="197">
                  <c:v>0.74738679029101607</c:v>
                </c:pt>
                <c:pt idx="198">
                  <c:v>1.1927543450336855</c:v>
                </c:pt>
                <c:pt idx="199">
                  <c:v>1.9664405693148641</c:v>
                </c:pt>
                <c:pt idx="200">
                  <c:v>1.8875215759688886</c:v>
                </c:pt>
                <c:pt idx="201">
                  <c:v>1.8345109389631395</c:v>
                </c:pt>
                <c:pt idx="202">
                  <c:v>2.2150777175839198</c:v>
                </c:pt>
                <c:pt idx="203">
                  <c:v>3.0746840419214143</c:v>
                </c:pt>
                <c:pt idx="204">
                  <c:v>2.4631072790582023</c:v>
                </c:pt>
                <c:pt idx="205">
                  <c:v>3.4614499802813135</c:v>
                </c:pt>
                <c:pt idx="206">
                  <c:v>2.6535198423683943</c:v>
                </c:pt>
                <c:pt idx="207">
                  <c:v>2.3068730130553332</c:v>
                </c:pt>
                <c:pt idx="208">
                  <c:v>1.0986814223686392</c:v>
                </c:pt>
                <c:pt idx="209">
                  <c:v>0.72909979949755521</c:v>
                </c:pt>
                <c:pt idx="210">
                  <c:v>-0.47366932696536851</c:v>
                </c:pt>
                <c:pt idx="211">
                  <c:v>-1.0621646666718694</c:v>
                </c:pt>
                <c:pt idx="212">
                  <c:v>-0.98992316898961985</c:v>
                </c:pt>
                <c:pt idx="213">
                  <c:v>-1.2764458601652466</c:v>
                </c:pt>
                <c:pt idx="214">
                  <c:v>-1.6055045871559741</c:v>
                </c:pt>
                <c:pt idx="215">
                  <c:v>-2.3258266969041772</c:v>
                </c:pt>
                <c:pt idx="216">
                  <c:v>-2.5755661385946156</c:v>
                </c:pt>
                <c:pt idx="217">
                  <c:v>-2.3904944263852421</c:v>
                </c:pt>
                <c:pt idx="218">
                  <c:v>-1.4532484376842407</c:v>
                </c:pt>
                <c:pt idx="219">
                  <c:v>-0.97424936684769614</c:v>
                </c:pt>
                <c:pt idx="220">
                  <c:v>-1.0385983286421803</c:v>
                </c:pt>
                <c:pt idx="221">
                  <c:v>-0.92166231738435833</c:v>
                </c:pt>
                <c:pt idx="222">
                  <c:v>-0.61295909054980269</c:v>
                </c:pt>
                <c:pt idx="223">
                  <c:v>-0.33648865868905425</c:v>
                </c:pt>
                <c:pt idx="224">
                  <c:v>0.13565340909091167</c:v>
                </c:pt>
                <c:pt idx="225">
                  <c:v>7.4141023287342359E-2</c:v>
                </c:pt>
                <c:pt idx="226">
                  <c:v>0.33135363576372034</c:v>
                </c:pt>
                <c:pt idx="227">
                  <c:v>0.32036293840516233</c:v>
                </c:pt>
                <c:pt idx="228">
                  <c:v>0.93257561564561875</c:v>
                </c:pt>
                <c:pt idx="229">
                  <c:v>0.63805864621200103</c:v>
                </c:pt>
                <c:pt idx="230">
                  <c:v>0.13302978770091362</c:v>
                </c:pt>
                <c:pt idx="231">
                  <c:v>0.32106777188509977</c:v>
                </c:pt>
                <c:pt idx="232">
                  <c:v>-0.21006979738429221</c:v>
                </c:pt>
                <c:pt idx="233">
                  <c:v>-5.1191205889673158E-2</c:v>
                </c:pt>
                <c:pt idx="234">
                  <c:v>2.3434884499497825E-2</c:v>
                </c:pt>
                <c:pt idx="235">
                  <c:v>-0.20303149318013888</c:v>
                </c:pt>
                <c:pt idx="236">
                  <c:v>-1.4397299265241279</c:v>
                </c:pt>
                <c:pt idx="237">
                  <c:v>-1.4833395879831788</c:v>
                </c:pt>
                <c:pt idx="238">
                  <c:v>-2.4582593715816525</c:v>
                </c:pt>
                <c:pt idx="239">
                  <c:v>-4.9788798498122606</c:v>
                </c:pt>
                <c:pt idx="240">
                  <c:v>-6.7061259191474685</c:v>
                </c:pt>
                <c:pt idx="241">
                  <c:v>-7.1964211832850582</c:v>
                </c:pt>
                <c:pt idx="242">
                  <c:v>-7.2326638927177376</c:v>
                </c:pt>
                <c:pt idx="243">
                  <c:v>-6.6576374758490582</c:v>
                </c:pt>
                <c:pt idx="244">
                  <c:v>-6.5633656841984136</c:v>
                </c:pt>
                <c:pt idx="245">
                  <c:v>-5.9632676487468936</c:v>
                </c:pt>
                <c:pt idx="246">
                  <c:v>-5.6290127773186702</c:v>
                </c:pt>
                <c:pt idx="247">
                  <c:v>-5.3397289265415049</c:v>
                </c:pt>
                <c:pt idx="248">
                  <c:v>-6.0298556471880964</c:v>
                </c:pt>
                <c:pt idx="249">
                  <c:v>-5.6812962089035679</c:v>
                </c:pt>
                <c:pt idx="250">
                  <c:v>-5.8267765900755446</c:v>
                </c:pt>
                <c:pt idx="251">
                  <c:v>-5.1205176732187869</c:v>
                </c:pt>
                <c:pt idx="252">
                  <c:v>-4.9559779734312288</c:v>
                </c:pt>
                <c:pt idx="253">
                  <c:v>-4.9488075759829444</c:v>
                </c:pt>
                <c:pt idx="254">
                  <c:v>-4.7456497182116228</c:v>
                </c:pt>
                <c:pt idx="255">
                  <c:v>-5.116808065904336</c:v>
                </c:pt>
                <c:pt idx="256">
                  <c:v>-4.8609197724753992</c:v>
                </c:pt>
                <c:pt idx="257">
                  <c:v>-4.8261983168679086</c:v>
                </c:pt>
                <c:pt idx="258">
                  <c:v>-4.1562906184327275</c:v>
                </c:pt>
                <c:pt idx="259">
                  <c:v>-3.7190732563063293</c:v>
                </c:pt>
                <c:pt idx="260">
                  <c:v>-4.6156719565243503</c:v>
                </c:pt>
                <c:pt idx="261">
                  <c:v>-3.9297222372234502</c:v>
                </c:pt>
                <c:pt idx="262">
                  <c:v>-3.4891989602318541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1-4112-B355-DB8BA8476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956224"/>
        <c:axId val="353958912"/>
      </c:lineChart>
      <c:dateAx>
        <c:axId val="353956224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crossAx val="353958912"/>
        <c:crosses val="autoZero"/>
        <c:auto val="1"/>
        <c:lblOffset val="100"/>
        <c:baseTimeUnit val="months"/>
      </c:dateAx>
      <c:valAx>
        <c:axId val="353958912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output</a:t>
                </a:r>
                <a:r>
                  <a:rPr lang="en-US" baseline="0"/>
                  <a:t> gap (%)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39562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2'!$F$2</c:f>
              <c:strCache>
                <c:ptCount val="1"/>
                <c:pt idx="0">
                  <c:v>GDP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2'!$F$3:$F$73</c:f>
              <c:numCache>
                <c:formatCode>General</c:formatCode>
                <c:ptCount val="71"/>
                <c:pt idx="0">
                  <c:v>12359.1</c:v>
                </c:pt>
                <c:pt idx="1">
                  <c:v>12592.5</c:v>
                </c:pt>
                <c:pt idx="2">
                  <c:v>12607.7</c:v>
                </c:pt>
                <c:pt idx="3">
                  <c:v>12679.3</c:v>
                </c:pt>
                <c:pt idx="4">
                  <c:v>12643.3</c:v>
                </c:pt>
                <c:pt idx="5">
                  <c:v>12710.3</c:v>
                </c:pt>
                <c:pt idx="6">
                  <c:v>12670.1</c:v>
                </c:pt>
                <c:pt idx="7">
                  <c:v>12705.3</c:v>
                </c:pt>
                <c:pt idx="8">
                  <c:v>12822.3</c:v>
                </c:pt>
                <c:pt idx="9">
                  <c:v>12893</c:v>
                </c:pt>
                <c:pt idx="10">
                  <c:v>12955.8</c:v>
                </c:pt>
                <c:pt idx="11">
                  <c:v>12964</c:v>
                </c:pt>
                <c:pt idx="12">
                  <c:v>13031.2</c:v>
                </c:pt>
                <c:pt idx="13">
                  <c:v>13152.1</c:v>
                </c:pt>
                <c:pt idx="14">
                  <c:v>13372.4</c:v>
                </c:pt>
                <c:pt idx="15">
                  <c:v>13528.7</c:v>
                </c:pt>
                <c:pt idx="16">
                  <c:v>13606.5</c:v>
                </c:pt>
                <c:pt idx="17">
                  <c:v>13706.2</c:v>
                </c:pt>
                <c:pt idx="18">
                  <c:v>13830.8</c:v>
                </c:pt>
                <c:pt idx="19">
                  <c:v>13950.4</c:v>
                </c:pt>
                <c:pt idx="20">
                  <c:v>14099.1</c:v>
                </c:pt>
                <c:pt idx="21">
                  <c:v>14172.7</c:v>
                </c:pt>
                <c:pt idx="22">
                  <c:v>14291.8</c:v>
                </c:pt>
                <c:pt idx="23">
                  <c:v>14373.4</c:v>
                </c:pt>
                <c:pt idx="24">
                  <c:v>14546.1</c:v>
                </c:pt>
                <c:pt idx="25">
                  <c:v>14589.6</c:v>
                </c:pt>
                <c:pt idx="26">
                  <c:v>14602.6</c:v>
                </c:pt>
                <c:pt idx="27">
                  <c:v>14716.9</c:v>
                </c:pt>
                <c:pt idx="28">
                  <c:v>14726</c:v>
                </c:pt>
                <c:pt idx="29">
                  <c:v>14838.7</c:v>
                </c:pt>
                <c:pt idx="30">
                  <c:v>14938.5</c:v>
                </c:pt>
                <c:pt idx="31">
                  <c:v>14991.8</c:v>
                </c:pt>
                <c:pt idx="32">
                  <c:v>14889.5</c:v>
                </c:pt>
                <c:pt idx="33">
                  <c:v>14963.4</c:v>
                </c:pt>
                <c:pt idx="34">
                  <c:v>14891.6</c:v>
                </c:pt>
                <c:pt idx="35">
                  <c:v>14577</c:v>
                </c:pt>
                <c:pt idx="36">
                  <c:v>14375</c:v>
                </c:pt>
                <c:pt idx="37">
                  <c:v>14355.6</c:v>
                </c:pt>
                <c:pt idx="38">
                  <c:v>14402.5</c:v>
                </c:pt>
                <c:pt idx="39">
                  <c:v>14541.9</c:v>
                </c:pt>
                <c:pt idx="40">
                  <c:v>14604.8</c:v>
                </c:pt>
                <c:pt idx="41">
                  <c:v>14745.9</c:v>
                </c:pt>
                <c:pt idx="42">
                  <c:v>14845.5</c:v>
                </c:pt>
                <c:pt idx="43">
                  <c:v>14939</c:v>
                </c:pt>
                <c:pt idx="44">
                  <c:v>14881.3</c:v>
                </c:pt>
                <c:pt idx="45">
                  <c:v>14989.6</c:v>
                </c:pt>
                <c:pt idx="46">
                  <c:v>15021.1</c:v>
                </c:pt>
                <c:pt idx="47">
                  <c:v>15190.3</c:v>
                </c:pt>
                <c:pt idx="48">
                  <c:v>15275</c:v>
                </c:pt>
                <c:pt idx="49">
                  <c:v>15336.7</c:v>
                </c:pt>
                <c:pt idx="50">
                  <c:v>15431.3</c:v>
                </c:pt>
                <c:pt idx="51">
                  <c:v>15433.7</c:v>
                </c:pt>
                <c:pt idx="52">
                  <c:v>15538.4</c:v>
                </c:pt>
                <c:pt idx="53">
                  <c:v>15606.6</c:v>
                </c:pt>
                <c:pt idx="54">
                  <c:v>15779.9</c:v>
                </c:pt>
                <c:pt idx="55">
                  <c:v>15916.2</c:v>
                </c:pt>
                <c:pt idx="56">
                  <c:v>15831.7</c:v>
                </c:pt>
                <c:pt idx="57">
                  <c:v>16010.4</c:v>
                </c:pt>
                <c:pt idx="58">
                  <c:v>16150.6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FB-4CF0-AF34-F104C23AD50B}"/>
            </c:ext>
          </c:extLst>
        </c:ser>
        <c:ser>
          <c:idx val="1"/>
          <c:order val="1"/>
          <c:tx>
            <c:strRef>
              <c:f>'graph 2'!$G$2</c:f>
              <c:strCache>
                <c:ptCount val="1"/>
                <c:pt idx="0">
                  <c:v>potential GDP (2014 est.)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2'!$G$3:$G$73</c:f>
              <c:numCache>
                <c:formatCode>General</c:formatCode>
                <c:ptCount val="71"/>
                <c:pt idx="0">
                  <c:v>12062</c:v>
                </c:pt>
                <c:pt idx="1">
                  <c:v>12171.2</c:v>
                </c:pt>
                <c:pt idx="2">
                  <c:v>12281.8</c:v>
                </c:pt>
                <c:pt idx="3">
                  <c:v>12393.4</c:v>
                </c:pt>
                <c:pt idx="4">
                  <c:v>12505.9</c:v>
                </c:pt>
                <c:pt idx="5">
                  <c:v>12618.3</c:v>
                </c:pt>
                <c:pt idx="6">
                  <c:v>12730.4</c:v>
                </c:pt>
                <c:pt idx="7">
                  <c:v>12841.7</c:v>
                </c:pt>
                <c:pt idx="8">
                  <c:v>12950.5</c:v>
                </c:pt>
                <c:pt idx="9">
                  <c:v>13059.7</c:v>
                </c:pt>
                <c:pt idx="10">
                  <c:v>13167.2</c:v>
                </c:pt>
                <c:pt idx="11">
                  <c:v>13272.7</c:v>
                </c:pt>
                <c:pt idx="12">
                  <c:v>13375.7</c:v>
                </c:pt>
                <c:pt idx="13">
                  <c:v>13474.2</c:v>
                </c:pt>
                <c:pt idx="14">
                  <c:v>13569.6</c:v>
                </c:pt>
                <c:pt idx="15">
                  <c:v>13661.8</c:v>
                </c:pt>
                <c:pt idx="16">
                  <c:v>13749.3</c:v>
                </c:pt>
                <c:pt idx="17">
                  <c:v>13833.7</c:v>
                </c:pt>
                <c:pt idx="18">
                  <c:v>13916.1</c:v>
                </c:pt>
                <c:pt idx="19">
                  <c:v>13997.5</c:v>
                </c:pt>
                <c:pt idx="20">
                  <c:v>14080</c:v>
                </c:pt>
                <c:pt idx="21">
                  <c:v>14162.2</c:v>
                </c:pt>
                <c:pt idx="22">
                  <c:v>14244.6</c:v>
                </c:pt>
                <c:pt idx="23">
                  <c:v>14327.5</c:v>
                </c:pt>
                <c:pt idx="24">
                  <c:v>14411.7</c:v>
                </c:pt>
                <c:pt idx="25">
                  <c:v>14497.1</c:v>
                </c:pt>
                <c:pt idx="26">
                  <c:v>14583.2</c:v>
                </c:pt>
                <c:pt idx="27">
                  <c:v>14669.8</c:v>
                </c:pt>
                <c:pt idx="28">
                  <c:v>14757</c:v>
                </c:pt>
                <c:pt idx="29">
                  <c:v>14846.3</c:v>
                </c:pt>
                <c:pt idx="30">
                  <c:v>14935</c:v>
                </c:pt>
                <c:pt idx="31">
                  <c:v>15022.3</c:v>
                </c:pt>
                <c:pt idx="32">
                  <c:v>15107</c:v>
                </c:pt>
                <c:pt idx="33">
                  <c:v>15188.7</c:v>
                </c:pt>
                <c:pt idx="34">
                  <c:v>15266.9</c:v>
                </c:pt>
                <c:pt idx="35">
                  <c:v>15340.8</c:v>
                </c:pt>
                <c:pt idx="36">
                  <c:v>15408.3</c:v>
                </c:pt>
                <c:pt idx="37">
                  <c:v>15468.8</c:v>
                </c:pt>
                <c:pt idx="38">
                  <c:v>15525.4</c:v>
                </c:pt>
                <c:pt idx="39">
                  <c:v>15579.1</c:v>
                </c:pt>
                <c:pt idx="40">
                  <c:v>15630.7</c:v>
                </c:pt>
                <c:pt idx="41">
                  <c:v>15681</c:v>
                </c:pt>
                <c:pt idx="42">
                  <c:v>15731</c:v>
                </c:pt>
                <c:pt idx="43">
                  <c:v>15781.7</c:v>
                </c:pt>
                <c:pt idx="44">
                  <c:v>15836.2</c:v>
                </c:pt>
                <c:pt idx="45">
                  <c:v>15892.5</c:v>
                </c:pt>
                <c:pt idx="46">
                  <c:v>15950.5</c:v>
                </c:pt>
                <c:pt idx="47">
                  <c:v>16010.1</c:v>
                </c:pt>
                <c:pt idx="48">
                  <c:v>16071.5</c:v>
                </c:pt>
                <c:pt idx="49">
                  <c:v>16135.2</c:v>
                </c:pt>
                <c:pt idx="50">
                  <c:v>16200.1</c:v>
                </c:pt>
                <c:pt idx="51">
                  <c:v>16266</c:v>
                </c:pt>
                <c:pt idx="52">
                  <c:v>16332.3</c:v>
                </c:pt>
                <c:pt idx="53">
                  <c:v>16398</c:v>
                </c:pt>
                <c:pt idx="54">
                  <c:v>16464.2</c:v>
                </c:pt>
                <c:pt idx="55">
                  <c:v>16531</c:v>
                </c:pt>
                <c:pt idx="56">
                  <c:v>16597.8</c:v>
                </c:pt>
                <c:pt idx="57">
                  <c:v>16665.3</c:v>
                </c:pt>
                <c:pt idx="58">
                  <c:v>16734.5</c:v>
                </c:pt>
                <c:pt idx="59">
                  <c:v>16805.8</c:v>
                </c:pt>
                <c:pt idx="60">
                  <c:v>16880.599999999999</c:v>
                </c:pt>
                <c:pt idx="61">
                  <c:v>16958.400000000001</c:v>
                </c:pt>
                <c:pt idx="62">
                  <c:v>17038.900000000001</c:v>
                </c:pt>
                <c:pt idx="63">
                  <c:v>17122.099999999999</c:v>
                </c:pt>
                <c:pt idx="64">
                  <c:v>17208.099999999999</c:v>
                </c:pt>
                <c:pt idx="65">
                  <c:v>17296.7</c:v>
                </c:pt>
                <c:pt idx="66">
                  <c:v>17387.599999999999</c:v>
                </c:pt>
                <c:pt idx="67">
                  <c:v>17480.5</c:v>
                </c:pt>
                <c:pt idx="68">
                  <c:v>17575</c:v>
                </c:pt>
                <c:pt idx="69">
                  <c:v>17671.7</c:v>
                </c:pt>
                <c:pt idx="70">
                  <c:v>17770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FB-4CF0-AF34-F104C23AD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951744"/>
        <c:axId val="353953280"/>
      </c:lineChart>
      <c:dateAx>
        <c:axId val="353951744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crossAx val="353953280"/>
        <c:crosses val="autoZero"/>
        <c:auto val="1"/>
        <c:lblOffset val="100"/>
        <c:baseTimeUnit val="months"/>
      </c:dateAx>
      <c:valAx>
        <c:axId val="353953280"/>
        <c:scaling>
          <c:orientation val="minMax"/>
          <c:max val="18000"/>
          <c:min val="1200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billions of</a:t>
                </a:r>
                <a:r>
                  <a:rPr lang="en-US" baseline="0"/>
                  <a:t> chained 2009 dollars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3951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2'!$D$2</c:f>
              <c:strCache>
                <c:ptCount val="1"/>
                <c:pt idx="0">
                  <c:v>GDP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2'!$D$3:$D$73</c:f>
              <c:numCache>
                <c:formatCode>General</c:formatCode>
                <c:ptCount val="71"/>
                <c:pt idx="0">
                  <c:v>12359.1</c:v>
                </c:pt>
                <c:pt idx="1">
                  <c:v>12592.5</c:v>
                </c:pt>
                <c:pt idx="2">
                  <c:v>12607.7</c:v>
                </c:pt>
                <c:pt idx="3">
                  <c:v>12679.3</c:v>
                </c:pt>
                <c:pt idx="4">
                  <c:v>12643.3</c:v>
                </c:pt>
                <c:pt idx="5">
                  <c:v>12710.3</c:v>
                </c:pt>
                <c:pt idx="6">
                  <c:v>12670.1</c:v>
                </c:pt>
                <c:pt idx="7">
                  <c:v>12705.3</c:v>
                </c:pt>
                <c:pt idx="8">
                  <c:v>12822.3</c:v>
                </c:pt>
                <c:pt idx="9">
                  <c:v>12893</c:v>
                </c:pt>
                <c:pt idx="10">
                  <c:v>12955.8</c:v>
                </c:pt>
                <c:pt idx="11">
                  <c:v>12964</c:v>
                </c:pt>
                <c:pt idx="12">
                  <c:v>13031.2</c:v>
                </c:pt>
                <c:pt idx="13">
                  <c:v>13152.1</c:v>
                </c:pt>
                <c:pt idx="14">
                  <c:v>13372.4</c:v>
                </c:pt>
                <c:pt idx="15">
                  <c:v>13528.7</c:v>
                </c:pt>
                <c:pt idx="16">
                  <c:v>13606.5</c:v>
                </c:pt>
                <c:pt idx="17">
                  <c:v>13706.2</c:v>
                </c:pt>
                <c:pt idx="18">
                  <c:v>13830.8</c:v>
                </c:pt>
                <c:pt idx="19">
                  <c:v>13950.4</c:v>
                </c:pt>
                <c:pt idx="20">
                  <c:v>14099.1</c:v>
                </c:pt>
                <c:pt idx="21">
                  <c:v>14172.7</c:v>
                </c:pt>
                <c:pt idx="22">
                  <c:v>14291.8</c:v>
                </c:pt>
                <c:pt idx="23">
                  <c:v>14373.4</c:v>
                </c:pt>
                <c:pt idx="24">
                  <c:v>14546.1</c:v>
                </c:pt>
                <c:pt idx="25">
                  <c:v>14589.6</c:v>
                </c:pt>
                <c:pt idx="26">
                  <c:v>14602.6</c:v>
                </c:pt>
                <c:pt idx="27">
                  <c:v>14716.9</c:v>
                </c:pt>
                <c:pt idx="28">
                  <c:v>14726</c:v>
                </c:pt>
                <c:pt idx="29">
                  <c:v>14838.7</c:v>
                </c:pt>
                <c:pt idx="30">
                  <c:v>14938.5</c:v>
                </c:pt>
                <c:pt idx="31">
                  <c:v>14991.8</c:v>
                </c:pt>
                <c:pt idx="32">
                  <c:v>14889.5</c:v>
                </c:pt>
                <c:pt idx="33">
                  <c:v>14963.4</c:v>
                </c:pt>
                <c:pt idx="34">
                  <c:v>14891.6</c:v>
                </c:pt>
                <c:pt idx="35">
                  <c:v>14577</c:v>
                </c:pt>
                <c:pt idx="36">
                  <c:v>14375</c:v>
                </c:pt>
                <c:pt idx="37">
                  <c:v>14355.6</c:v>
                </c:pt>
                <c:pt idx="38">
                  <c:v>14402.5</c:v>
                </c:pt>
                <c:pt idx="39">
                  <c:v>14541.9</c:v>
                </c:pt>
                <c:pt idx="40">
                  <c:v>14604.8</c:v>
                </c:pt>
                <c:pt idx="41">
                  <c:v>14745.9</c:v>
                </c:pt>
                <c:pt idx="42">
                  <c:v>14845.5</c:v>
                </c:pt>
                <c:pt idx="43">
                  <c:v>14939</c:v>
                </c:pt>
                <c:pt idx="44">
                  <c:v>14881.3</c:v>
                </c:pt>
                <c:pt idx="45">
                  <c:v>14989.6</c:v>
                </c:pt>
                <c:pt idx="46">
                  <c:v>15021.1</c:v>
                </c:pt>
                <c:pt idx="47">
                  <c:v>15190.3</c:v>
                </c:pt>
                <c:pt idx="48">
                  <c:v>15291</c:v>
                </c:pt>
                <c:pt idx="49">
                  <c:v>15362.4</c:v>
                </c:pt>
                <c:pt idx="50">
                  <c:v>15380.8</c:v>
                </c:pt>
                <c:pt idx="51">
                  <c:v>15384.3</c:v>
                </c:pt>
                <c:pt idx="52">
                  <c:v>15457.2</c:v>
                </c:pt>
                <c:pt idx="53">
                  <c:v>15500.2</c:v>
                </c:pt>
                <c:pt idx="54">
                  <c:v>15614.4</c:v>
                </c:pt>
                <c:pt idx="55">
                  <c:v>15761.5</c:v>
                </c:pt>
                <c:pt idx="56">
                  <c:v>15724.9</c:v>
                </c:pt>
                <c:pt idx="57">
                  <c:v>15901.5</c:v>
                </c:pt>
                <c:pt idx="58">
                  <c:v>16068.8</c:v>
                </c:pt>
                <c:pt idx="59">
                  <c:v>16151.4</c:v>
                </c:pt>
                <c:pt idx="60">
                  <c:v>16177.3</c:v>
                </c:pt>
                <c:pt idx="61">
                  <c:v>16333.6</c:v>
                </c:pt>
                <c:pt idx="62">
                  <c:v>16394.2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3-4C1C-8189-5AE9882DA61E}"/>
            </c:ext>
          </c:extLst>
        </c:ser>
        <c:ser>
          <c:idx val="1"/>
          <c:order val="1"/>
          <c:tx>
            <c:strRef>
              <c:f>'graph 2'!$E$2</c:f>
              <c:strCache>
                <c:ptCount val="1"/>
                <c:pt idx="0">
                  <c:v>potential GDP (2015 est.)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2'!$E$3:$E$73</c:f>
              <c:numCache>
                <c:formatCode>General</c:formatCode>
                <c:ptCount val="71"/>
                <c:pt idx="0">
                  <c:v>12123.7</c:v>
                </c:pt>
                <c:pt idx="1">
                  <c:v>12232.3</c:v>
                </c:pt>
                <c:pt idx="2">
                  <c:v>12343</c:v>
                </c:pt>
                <c:pt idx="3">
                  <c:v>12455.4</c:v>
                </c:pt>
                <c:pt idx="4">
                  <c:v>12570.3</c:v>
                </c:pt>
                <c:pt idx="5">
                  <c:v>12684.7</c:v>
                </c:pt>
                <c:pt idx="6">
                  <c:v>12798.3</c:v>
                </c:pt>
                <c:pt idx="7">
                  <c:v>12910.2</c:v>
                </c:pt>
                <c:pt idx="8">
                  <c:v>13016.8</c:v>
                </c:pt>
                <c:pt idx="9">
                  <c:v>13121.9</c:v>
                </c:pt>
                <c:pt idx="10">
                  <c:v>13224.4</c:v>
                </c:pt>
                <c:pt idx="11">
                  <c:v>13324.4</c:v>
                </c:pt>
                <c:pt idx="12">
                  <c:v>13422.1</c:v>
                </c:pt>
                <c:pt idx="13">
                  <c:v>13515.4</c:v>
                </c:pt>
                <c:pt idx="14">
                  <c:v>13606</c:v>
                </c:pt>
                <c:pt idx="15">
                  <c:v>13693.9</c:v>
                </c:pt>
                <c:pt idx="16">
                  <c:v>13778.6</c:v>
                </c:pt>
                <c:pt idx="17">
                  <c:v>13860.8</c:v>
                </c:pt>
                <c:pt idx="18">
                  <c:v>13942</c:v>
                </c:pt>
                <c:pt idx="19">
                  <c:v>14023</c:v>
                </c:pt>
                <c:pt idx="20">
                  <c:v>14105.9</c:v>
                </c:pt>
                <c:pt idx="21">
                  <c:v>14190.7</c:v>
                </c:pt>
                <c:pt idx="22">
                  <c:v>14276.3</c:v>
                </c:pt>
                <c:pt idx="23">
                  <c:v>14362.9</c:v>
                </c:pt>
                <c:pt idx="24">
                  <c:v>14451</c:v>
                </c:pt>
                <c:pt idx="25">
                  <c:v>14540.5</c:v>
                </c:pt>
                <c:pt idx="26">
                  <c:v>14629.9</c:v>
                </c:pt>
                <c:pt idx="27">
                  <c:v>14718.6</c:v>
                </c:pt>
                <c:pt idx="28">
                  <c:v>14805.1</c:v>
                </c:pt>
                <c:pt idx="29">
                  <c:v>14889.6</c:v>
                </c:pt>
                <c:pt idx="30">
                  <c:v>14972.3</c:v>
                </c:pt>
                <c:pt idx="31">
                  <c:v>15052.9</c:v>
                </c:pt>
                <c:pt idx="32">
                  <c:v>15130.6</c:v>
                </c:pt>
                <c:pt idx="33">
                  <c:v>15208.7</c:v>
                </c:pt>
                <c:pt idx="34">
                  <c:v>15283.9</c:v>
                </c:pt>
                <c:pt idx="35">
                  <c:v>15355.5</c:v>
                </c:pt>
                <c:pt idx="36">
                  <c:v>15422.8</c:v>
                </c:pt>
                <c:pt idx="37">
                  <c:v>15479.9</c:v>
                </c:pt>
                <c:pt idx="38">
                  <c:v>15532.4</c:v>
                </c:pt>
                <c:pt idx="39">
                  <c:v>15581.2</c:v>
                </c:pt>
                <c:pt idx="40">
                  <c:v>15624.8</c:v>
                </c:pt>
                <c:pt idx="41">
                  <c:v>15669.1</c:v>
                </c:pt>
                <c:pt idx="42">
                  <c:v>15713.7</c:v>
                </c:pt>
                <c:pt idx="43">
                  <c:v>15759.9</c:v>
                </c:pt>
                <c:pt idx="44">
                  <c:v>15813.6</c:v>
                </c:pt>
                <c:pt idx="45">
                  <c:v>15869.2</c:v>
                </c:pt>
                <c:pt idx="46">
                  <c:v>15926.3</c:v>
                </c:pt>
                <c:pt idx="47">
                  <c:v>15984.6</c:v>
                </c:pt>
                <c:pt idx="48">
                  <c:v>16041.8</c:v>
                </c:pt>
                <c:pt idx="49">
                  <c:v>16100.3</c:v>
                </c:pt>
                <c:pt idx="50">
                  <c:v>16159.4</c:v>
                </c:pt>
                <c:pt idx="51">
                  <c:v>16218.9</c:v>
                </c:pt>
                <c:pt idx="52">
                  <c:v>16279.2</c:v>
                </c:pt>
                <c:pt idx="53">
                  <c:v>16338.4</c:v>
                </c:pt>
                <c:pt idx="54">
                  <c:v>16398.099999999999</c:v>
                </c:pt>
                <c:pt idx="55">
                  <c:v>16458.3</c:v>
                </c:pt>
                <c:pt idx="56">
                  <c:v>16519</c:v>
                </c:pt>
                <c:pt idx="57">
                  <c:v>16581.5</c:v>
                </c:pt>
                <c:pt idx="58">
                  <c:v>16645.8</c:v>
                </c:pt>
                <c:pt idx="59">
                  <c:v>16712</c:v>
                </c:pt>
                <c:pt idx="60">
                  <c:v>16781.7</c:v>
                </c:pt>
                <c:pt idx="61">
                  <c:v>16853.099999999999</c:v>
                </c:pt>
                <c:pt idx="62">
                  <c:v>16926.5</c:v>
                </c:pt>
                <c:pt idx="63">
                  <c:v>17001.8</c:v>
                </c:pt>
                <c:pt idx="64">
                  <c:v>17078.599999999999</c:v>
                </c:pt>
                <c:pt idx="65">
                  <c:v>17157.599999999999</c:v>
                </c:pt>
                <c:pt idx="66">
                  <c:v>17238.900000000001</c:v>
                </c:pt>
                <c:pt idx="67">
                  <c:v>17322.5</c:v>
                </c:pt>
                <c:pt idx="68">
                  <c:v>17409.2</c:v>
                </c:pt>
                <c:pt idx="69">
                  <c:v>17499</c:v>
                </c:pt>
                <c:pt idx="70">
                  <c:v>17591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3-4C1C-8189-5AE9882DA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726080"/>
        <c:axId val="379736064"/>
      </c:lineChart>
      <c:dateAx>
        <c:axId val="379726080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crossAx val="379736064"/>
        <c:crosses val="autoZero"/>
        <c:auto val="1"/>
        <c:lblOffset val="100"/>
        <c:baseTimeUnit val="months"/>
      </c:dateAx>
      <c:valAx>
        <c:axId val="379736064"/>
        <c:scaling>
          <c:orientation val="minMax"/>
          <c:min val="1200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billions of</a:t>
                </a:r>
                <a:r>
                  <a:rPr lang="en-US" baseline="0"/>
                  <a:t> chained 2009 dollars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97260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2'!$D$2</c:f>
              <c:strCache>
                <c:ptCount val="1"/>
                <c:pt idx="0">
                  <c:v>GDP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2'!$D$3:$D$73</c:f>
              <c:numCache>
                <c:formatCode>General</c:formatCode>
                <c:ptCount val="71"/>
                <c:pt idx="0">
                  <c:v>12359.1</c:v>
                </c:pt>
                <c:pt idx="1">
                  <c:v>12592.5</c:v>
                </c:pt>
                <c:pt idx="2">
                  <c:v>12607.7</c:v>
                </c:pt>
                <c:pt idx="3">
                  <c:v>12679.3</c:v>
                </c:pt>
                <c:pt idx="4">
                  <c:v>12643.3</c:v>
                </c:pt>
                <c:pt idx="5">
                  <c:v>12710.3</c:v>
                </c:pt>
                <c:pt idx="6">
                  <c:v>12670.1</c:v>
                </c:pt>
                <c:pt idx="7">
                  <c:v>12705.3</c:v>
                </c:pt>
                <c:pt idx="8">
                  <c:v>12822.3</c:v>
                </c:pt>
                <c:pt idx="9">
                  <c:v>12893</c:v>
                </c:pt>
                <c:pt idx="10">
                  <c:v>12955.8</c:v>
                </c:pt>
                <c:pt idx="11">
                  <c:v>12964</c:v>
                </c:pt>
                <c:pt idx="12">
                  <c:v>13031.2</c:v>
                </c:pt>
                <c:pt idx="13">
                  <c:v>13152.1</c:v>
                </c:pt>
                <c:pt idx="14">
                  <c:v>13372.4</c:v>
                </c:pt>
                <c:pt idx="15">
                  <c:v>13528.7</c:v>
                </c:pt>
                <c:pt idx="16">
                  <c:v>13606.5</c:v>
                </c:pt>
                <c:pt idx="17">
                  <c:v>13706.2</c:v>
                </c:pt>
                <c:pt idx="18">
                  <c:v>13830.8</c:v>
                </c:pt>
                <c:pt idx="19">
                  <c:v>13950.4</c:v>
                </c:pt>
                <c:pt idx="20">
                  <c:v>14099.1</c:v>
                </c:pt>
                <c:pt idx="21">
                  <c:v>14172.7</c:v>
                </c:pt>
                <c:pt idx="22">
                  <c:v>14291.8</c:v>
                </c:pt>
                <c:pt idx="23">
                  <c:v>14373.4</c:v>
                </c:pt>
                <c:pt idx="24">
                  <c:v>14546.1</c:v>
                </c:pt>
                <c:pt idx="25">
                  <c:v>14589.6</c:v>
                </c:pt>
                <c:pt idx="26">
                  <c:v>14602.6</c:v>
                </c:pt>
                <c:pt idx="27">
                  <c:v>14716.9</c:v>
                </c:pt>
                <c:pt idx="28">
                  <c:v>14726</c:v>
                </c:pt>
                <c:pt idx="29">
                  <c:v>14838.7</c:v>
                </c:pt>
                <c:pt idx="30">
                  <c:v>14938.5</c:v>
                </c:pt>
                <c:pt idx="31">
                  <c:v>14991.8</c:v>
                </c:pt>
                <c:pt idx="32">
                  <c:v>14889.5</c:v>
                </c:pt>
                <c:pt idx="33">
                  <c:v>14963.4</c:v>
                </c:pt>
                <c:pt idx="34">
                  <c:v>14891.6</c:v>
                </c:pt>
                <c:pt idx="35">
                  <c:v>14577</c:v>
                </c:pt>
                <c:pt idx="36">
                  <c:v>14375</c:v>
                </c:pt>
                <c:pt idx="37">
                  <c:v>14355.6</c:v>
                </c:pt>
                <c:pt idx="38">
                  <c:v>14402.5</c:v>
                </c:pt>
                <c:pt idx="39">
                  <c:v>14541.9</c:v>
                </c:pt>
                <c:pt idx="40">
                  <c:v>14604.8</c:v>
                </c:pt>
                <c:pt idx="41">
                  <c:v>14745.9</c:v>
                </c:pt>
                <c:pt idx="42">
                  <c:v>14845.5</c:v>
                </c:pt>
                <c:pt idx="43">
                  <c:v>14939</c:v>
                </c:pt>
                <c:pt idx="44">
                  <c:v>14881.3</c:v>
                </c:pt>
                <c:pt idx="45">
                  <c:v>14989.6</c:v>
                </c:pt>
                <c:pt idx="46">
                  <c:v>15021.1</c:v>
                </c:pt>
                <c:pt idx="47">
                  <c:v>15190.3</c:v>
                </c:pt>
                <c:pt idx="48">
                  <c:v>15291</c:v>
                </c:pt>
                <c:pt idx="49">
                  <c:v>15362.4</c:v>
                </c:pt>
                <c:pt idx="50">
                  <c:v>15380.8</c:v>
                </c:pt>
                <c:pt idx="51">
                  <c:v>15384.3</c:v>
                </c:pt>
                <c:pt idx="52">
                  <c:v>15457.2</c:v>
                </c:pt>
                <c:pt idx="53">
                  <c:v>15500.2</c:v>
                </c:pt>
                <c:pt idx="54">
                  <c:v>15614.4</c:v>
                </c:pt>
                <c:pt idx="55">
                  <c:v>15761.5</c:v>
                </c:pt>
                <c:pt idx="56">
                  <c:v>15724.9</c:v>
                </c:pt>
                <c:pt idx="57">
                  <c:v>15901.5</c:v>
                </c:pt>
                <c:pt idx="58">
                  <c:v>16068.8</c:v>
                </c:pt>
                <c:pt idx="59">
                  <c:v>16151.4</c:v>
                </c:pt>
                <c:pt idx="60">
                  <c:v>16177.3</c:v>
                </c:pt>
                <c:pt idx="61">
                  <c:v>16333.6</c:v>
                </c:pt>
                <c:pt idx="62">
                  <c:v>16394.2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5-4827-A747-AFF2441CB276}"/>
            </c:ext>
          </c:extLst>
        </c:ser>
        <c:ser>
          <c:idx val="1"/>
          <c:order val="1"/>
          <c:tx>
            <c:strRef>
              <c:f>'graph 2'!$E$2</c:f>
              <c:strCache>
                <c:ptCount val="1"/>
                <c:pt idx="0">
                  <c:v>potential GDP (2015 est.)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2'!$E$3:$E$73</c:f>
              <c:numCache>
                <c:formatCode>General</c:formatCode>
                <c:ptCount val="71"/>
                <c:pt idx="0">
                  <c:v>12123.7</c:v>
                </c:pt>
                <c:pt idx="1">
                  <c:v>12232.3</c:v>
                </c:pt>
                <c:pt idx="2">
                  <c:v>12343</c:v>
                </c:pt>
                <c:pt idx="3">
                  <c:v>12455.4</c:v>
                </c:pt>
                <c:pt idx="4">
                  <c:v>12570.3</c:v>
                </c:pt>
                <c:pt idx="5">
                  <c:v>12684.7</c:v>
                </c:pt>
                <c:pt idx="6">
                  <c:v>12798.3</c:v>
                </c:pt>
                <c:pt idx="7">
                  <c:v>12910.2</c:v>
                </c:pt>
                <c:pt idx="8">
                  <c:v>13016.8</c:v>
                </c:pt>
                <c:pt idx="9">
                  <c:v>13121.9</c:v>
                </c:pt>
                <c:pt idx="10">
                  <c:v>13224.4</c:v>
                </c:pt>
                <c:pt idx="11">
                  <c:v>13324.4</c:v>
                </c:pt>
                <c:pt idx="12">
                  <c:v>13422.1</c:v>
                </c:pt>
                <c:pt idx="13">
                  <c:v>13515.4</c:v>
                </c:pt>
                <c:pt idx="14">
                  <c:v>13606</c:v>
                </c:pt>
                <c:pt idx="15">
                  <c:v>13693.9</c:v>
                </c:pt>
                <c:pt idx="16">
                  <c:v>13778.6</c:v>
                </c:pt>
                <c:pt idx="17">
                  <c:v>13860.8</c:v>
                </c:pt>
                <c:pt idx="18">
                  <c:v>13942</c:v>
                </c:pt>
                <c:pt idx="19">
                  <c:v>14023</c:v>
                </c:pt>
                <c:pt idx="20">
                  <c:v>14105.9</c:v>
                </c:pt>
                <c:pt idx="21">
                  <c:v>14190.7</c:v>
                </c:pt>
                <c:pt idx="22">
                  <c:v>14276.3</c:v>
                </c:pt>
                <c:pt idx="23">
                  <c:v>14362.9</c:v>
                </c:pt>
                <c:pt idx="24">
                  <c:v>14451</c:v>
                </c:pt>
                <c:pt idx="25">
                  <c:v>14540.5</c:v>
                </c:pt>
                <c:pt idx="26">
                  <c:v>14629.9</c:v>
                </c:pt>
                <c:pt idx="27">
                  <c:v>14718.6</c:v>
                </c:pt>
                <c:pt idx="28">
                  <c:v>14805.1</c:v>
                </c:pt>
                <c:pt idx="29">
                  <c:v>14889.6</c:v>
                </c:pt>
                <c:pt idx="30">
                  <c:v>14972.3</c:v>
                </c:pt>
                <c:pt idx="31">
                  <c:v>15052.9</c:v>
                </c:pt>
                <c:pt idx="32">
                  <c:v>15130.6</c:v>
                </c:pt>
                <c:pt idx="33">
                  <c:v>15208.7</c:v>
                </c:pt>
                <c:pt idx="34">
                  <c:v>15283.9</c:v>
                </c:pt>
                <c:pt idx="35">
                  <c:v>15355.5</c:v>
                </c:pt>
                <c:pt idx="36">
                  <c:v>15422.8</c:v>
                </c:pt>
                <c:pt idx="37">
                  <c:v>15479.9</c:v>
                </c:pt>
                <c:pt idx="38">
                  <c:v>15532.4</c:v>
                </c:pt>
                <c:pt idx="39">
                  <c:v>15581.2</c:v>
                </c:pt>
                <c:pt idx="40">
                  <c:v>15624.8</c:v>
                </c:pt>
                <c:pt idx="41">
                  <c:v>15669.1</c:v>
                </c:pt>
                <c:pt idx="42">
                  <c:v>15713.7</c:v>
                </c:pt>
                <c:pt idx="43">
                  <c:v>15759.9</c:v>
                </c:pt>
                <c:pt idx="44">
                  <c:v>15813.6</c:v>
                </c:pt>
                <c:pt idx="45">
                  <c:v>15869.2</c:v>
                </c:pt>
                <c:pt idx="46">
                  <c:v>15926.3</c:v>
                </c:pt>
                <c:pt idx="47">
                  <c:v>15984.6</c:v>
                </c:pt>
                <c:pt idx="48">
                  <c:v>16041.8</c:v>
                </c:pt>
                <c:pt idx="49">
                  <c:v>16100.3</c:v>
                </c:pt>
                <c:pt idx="50">
                  <c:v>16159.4</c:v>
                </c:pt>
                <c:pt idx="51">
                  <c:v>16218.9</c:v>
                </c:pt>
                <c:pt idx="52">
                  <c:v>16279.2</c:v>
                </c:pt>
                <c:pt idx="53">
                  <c:v>16338.4</c:v>
                </c:pt>
                <c:pt idx="54">
                  <c:v>16398.099999999999</c:v>
                </c:pt>
                <c:pt idx="55">
                  <c:v>16458.3</c:v>
                </c:pt>
                <c:pt idx="56">
                  <c:v>16519</c:v>
                </c:pt>
                <c:pt idx="57">
                  <c:v>16581.5</c:v>
                </c:pt>
                <c:pt idx="58">
                  <c:v>16645.8</c:v>
                </c:pt>
                <c:pt idx="59">
                  <c:v>16712</c:v>
                </c:pt>
                <c:pt idx="60">
                  <c:v>16781.7</c:v>
                </c:pt>
                <c:pt idx="61">
                  <c:v>16853.099999999999</c:v>
                </c:pt>
                <c:pt idx="62">
                  <c:v>16926.5</c:v>
                </c:pt>
                <c:pt idx="63">
                  <c:v>17001.8</c:v>
                </c:pt>
                <c:pt idx="64">
                  <c:v>17078.599999999999</c:v>
                </c:pt>
                <c:pt idx="65">
                  <c:v>17157.599999999999</c:v>
                </c:pt>
                <c:pt idx="66">
                  <c:v>17238.900000000001</c:v>
                </c:pt>
                <c:pt idx="67">
                  <c:v>17322.5</c:v>
                </c:pt>
                <c:pt idx="68">
                  <c:v>17409.2</c:v>
                </c:pt>
                <c:pt idx="69">
                  <c:v>17499</c:v>
                </c:pt>
                <c:pt idx="70">
                  <c:v>17591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5-4827-A747-AFF2441CB276}"/>
            </c:ext>
          </c:extLst>
        </c:ser>
        <c:ser>
          <c:idx val="2"/>
          <c:order val="2"/>
          <c:tx>
            <c:strRef>
              <c:f>'graph 2'!$G$2</c:f>
              <c:strCache>
                <c:ptCount val="1"/>
                <c:pt idx="0">
                  <c:v>potential GDP (2014 est.)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2'!$G$3:$G$73</c:f>
              <c:numCache>
                <c:formatCode>General</c:formatCode>
                <c:ptCount val="71"/>
                <c:pt idx="0">
                  <c:v>12062</c:v>
                </c:pt>
                <c:pt idx="1">
                  <c:v>12171.2</c:v>
                </c:pt>
                <c:pt idx="2">
                  <c:v>12281.8</c:v>
                </c:pt>
                <c:pt idx="3">
                  <c:v>12393.4</c:v>
                </c:pt>
                <c:pt idx="4">
                  <c:v>12505.9</c:v>
                </c:pt>
                <c:pt idx="5">
                  <c:v>12618.3</c:v>
                </c:pt>
                <c:pt idx="6">
                  <c:v>12730.4</c:v>
                </c:pt>
                <c:pt idx="7">
                  <c:v>12841.7</c:v>
                </c:pt>
                <c:pt idx="8">
                  <c:v>12950.5</c:v>
                </c:pt>
                <c:pt idx="9">
                  <c:v>13059.7</c:v>
                </c:pt>
                <c:pt idx="10">
                  <c:v>13167.2</c:v>
                </c:pt>
                <c:pt idx="11">
                  <c:v>13272.7</c:v>
                </c:pt>
                <c:pt idx="12">
                  <c:v>13375.7</c:v>
                </c:pt>
                <c:pt idx="13">
                  <c:v>13474.2</c:v>
                </c:pt>
                <c:pt idx="14">
                  <c:v>13569.6</c:v>
                </c:pt>
                <c:pt idx="15">
                  <c:v>13661.8</c:v>
                </c:pt>
                <c:pt idx="16">
                  <c:v>13749.3</c:v>
                </c:pt>
                <c:pt idx="17">
                  <c:v>13833.7</c:v>
                </c:pt>
                <c:pt idx="18">
                  <c:v>13916.1</c:v>
                </c:pt>
                <c:pt idx="19">
                  <c:v>13997.5</c:v>
                </c:pt>
                <c:pt idx="20">
                  <c:v>14080</c:v>
                </c:pt>
                <c:pt idx="21">
                  <c:v>14162.2</c:v>
                </c:pt>
                <c:pt idx="22">
                  <c:v>14244.6</c:v>
                </c:pt>
                <c:pt idx="23">
                  <c:v>14327.5</c:v>
                </c:pt>
                <c:pt idx="24">
                  <c:v>14411.7</c:v>
                </c:pt>
                <c:pt idx="25">
                  <c:v>14497.1</c:v>
                </c:pt>
                <c:pt idx="26">
                  <c:v>14583.2</c:v>
                </c:pt>
                <c:pt idx="27">
                  <c:v>14669.8</c:v>
                </c:pt>
                <c:pt idx="28">
                  <c:v>14757</c:v>
                </c:pt>
                <c:pt idx="29">
                  <c:v>14846.3</c:v>
                </c:pt>
                <c:pt idx="30">
                  <c:v>14935</c:v>
                </c:pt>
                <c:pt idx="31">
                  <c:v>15022.3</c:v>
                </c:pt>
                <c:pt idx="32">
                  <c:v>15107</c:v>
                </c:pt>
                <c:pt idx="33">
                  <c:v>15188.7</c:v>
                </c:pt>
                <c:pt idx="34">
                  <c:v>15266.9</c:v>
                </c:pt>
                <c:pt idx="35">
                  <c:v>15340.8</c:v>
                </c:pt>
                <c:pt idx="36">
                  <c:v>15408.3</c:v>
                </c:pt>
                <c:pt idx="37">
                  <c:v>15468.8</c:v>
                </c:pt>
                <c:pt idx="38">
                  <c:v>15525.4</c:v>
                </c:pt>
                <c:pt idx="39">
                  <c:v>15579.1</c:v>
                </c:pt>
                <c:pt idx="40">
                  <c:v>15630.7</c:v>
                </c:pt>
                <c:pt idx="41">
                  <c:v>15681</c:v>
                </c:pt>
                <c:pt idx="42">
                  <c:v>15731</c:v>
                </c:pt>
                <c:pt idx="43">
                  <c:v>15781.7</c:v>
                </c:pt>
                <c:pt idx="44">
                  <c:v>15836.2</c:v>
                </c:pt>
                <c:pt idx="45">
                  <c:v>15892.5</c:v>
                </c:pt>
                <c:pt idx="46">
                  <c:v>15950.5</c:v>
                </c:pt>
                <c:pt idx="47">
                  <c:v>16010.1</c:v>
                </c:pt>
                <c:pt idx="48">
                  <c:v>16071.5</c:v>
                </c:pt>
                <c:pt idx="49">
                  <c:v>16135.2</c:v>
                </c:pt>
                <c:pt idx="50">
                  <c:v>16200.1</c:v>
                </c:pt>
                <c:pt idx="51">
                  <c:v>16266</c:v>
                </c:pt>
                <c:pt idx="52">
                  <c:v>16332.3</c:v>
                </c:pt>
                <c:pt idx="53">
                  <c:v>16398</c:v>
                </c:pt>
                <c:pt idx="54">
                  <c:v>16464.2</c:v>
                </c:pt>
                <c:pt idx="55">
                  <c:v>16531</c:v>
                </c:pt>
                <c:pt idx="56">
                  <c:v>16597.8</c:v>
                </c:pt>
                <c:pt idx="57">
                  <c:v>16665.3</c:v>
                </c:pt>
                <c:pt idx="58">
                  <c:v>16734.5</c:v>
                </c:pt>
                <c:pt idx="59">
                  <c:v>16805.8</c:v>
                </c:pt>
                <c:pt idx="60">
                  <c:v>16880.599999999999</c:v>
                </c:pt>
                <c:pt idx="61">
                  <c:v>16958.400000000001</c:v>
                </c:pt>
                <c:pt idx="62">
                  <c:v>17038.900000000001</c:v>
                </c:pt>
                <c:pt idx="63">
                  <c:v>17122.099999999999</c:v>
                </c:pt>
                <c:pt idx="64">
                  <c:v>17208.099999999999</c:v>
                </c:pt>
                <c:pt idx="65">
                  <c:v>17296.7</c:v>
                </c:pt>
                <c:pt idx="66">
                  <c:v>17387.599999999999</c:v>
                </c:pt>
                <c:pt idx="67">
                  <c:v>17480.5</c:v>
                </c:pt>
                <c:pt idx="68">
                  <c:v>17575</c:v>
                </c:pt>
                <c:pt idx="69">
                  <c:v>17671.7</c:v>
                </c:pt>
                <c:pt idx="70">
                  <c:v>17770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E5-4827-A747-AFF2441CB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778560"/>
        <c:axId val="379780096"/>
      </c:lineChart>
      <c:dateAx>
        <c:axId val="379778560"/>
        <c:scaling>
          <c:orientation val="minMax"/>
          <c:min val="38353"/>
        </c:scaling>
        <c:delete val="0"/>
        <c:axPos val="b"/>
        <c:numFmt formatCode="[$-409]mmm\-yyyy;@" sourceLinked="1"/>
        <c:majorTickMark val="out"/>
        <c:minorTickMark val="none"/>
        <c:tickLblPos val="nextTo"/>
        <c:crossAx val="379780096"/>
        <c:crosses val="autoZero"/>
        <c:auto val="1"/>
        <c:lblOffset val="100"/>
        <c:baseTimeUnit val="months"/>
      </c:dateAx>
      <c:valAx>
        <c:axId val="379780096"/>
        <c:scaling>
          <c:orientation val="minMax"/>
          <c:min val="1400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billions of</a:t>
                </a:r>
                <a:r>
                  <a:rPr lang="en-US" baseline="0"/>
                  <a:t> chained 2009 dollars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97785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2'!$D$2</c:f>
              <c:strCache>
                <c:ptCount val="1"/>
                <c:pt idx="0">
                  <c:v>GDP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2'!$B$3:$B$73</c:f>
              <c:numCache>
                <c:formatCode>0.0</c:formatCode>
                <c:ptCount val="71"/>
                <c:pt idx="0">
                  <c:v>12359.1</c:v>
                </c:pt>
                <c:pt idx="1">
                  <c:v>12592.5</c:v>
                </c:pt>
                <c:pt idx="2">
                  <c:v>12607.7</c:v>
                </c:pt>
                <c:pt idx="3">
                  <c:v>12679.3</c:v>
                </c:pt>
                <c:pt idx="4">
                  <c:v>12643.3</c:v>
                </c:pt>
                <c:pt idx="5">
                  <c:v>12710.3</c:v>
                </c:pt>
                <c:pt idx="6">
                  <c:v>12670.1</c:v>
                </c:pt>
                <c:pt idx="7">
                  <c:v>12705.3</c:v>
                </c:pt>
                <c:pt idx="8">
                  <c:v>12822.3</c:v>
                </c:pt>
                <c:pt idx="9">
                  <c:v>12893</c:v>
                </c:pt>
                <c:pt idx="10">
                  <c:v>12955.8</c:v>
                </c:pt>
                <c:pt idx="11">
                  <c:v>12964</c:v>
                </c:pt>
                <c:pt idx="12">
                  <c:v>13031.2</c:v>
                </c:pt>
                <c:pt idx="13">
                  <c:v>13152.1</c:v>
                </c:pt>
                <c:pt idx="14">
                  <c:v>13372.4</c:v>
                </c:pt>
                <c:pt idx="15">
                  <c:v>13528.7</c:v>
                </c:pt>
                <c:pt idx="16">
                  <c:v>13606.5</c:v>
                </c:pt>
                <c:pt idx="17">
                  <c:v>13706.2</c:v>
                </c:pt>
                <c:pt idx="18">
                  <c:v>13830.8</c:v>
                </c:pt>
                <c:pt idx="19">
                  <c:v>13950.4</c:v>
                </c:pt>
                <c:pt idx="20">
                  <c:v>14099.1</c:v>
                </c:pt>
                <c:pt idx="21">
                  <c:v>14172.7</c:v>
                </c:pt>
                <c:pt idx="22">
                  <c:v>14291.8</c:v>
                </c:pt>
                <c:pt idx="23">
                  <c:v>14373.4</c:v>
                </c:pt>
                <c:pt idx="24">
                  <c:v>14546.1</c:v>
                </c:pt>
                <c:pt idx="25">
                  <c:v>14589.6</c:v>
                </c:pt>
                <c:pt idx="26">
                  <c:v>14602.6</c:v>
                </c:pt>
                <c:pt idx="27">
                  <c:v>14716.9</c:v>
                </c:pt>
                <c:pt idx="28">
                  <c:v>14726</c:v>
                </c:pt>
                <c:pt idx="29">
                  <c:v>14838.7</c:v>
                </c:pt>
                <c:pt idx="30">
                  <c:v>14938.5</c:v>
                </c:pt>
                <c:pt idx="31">
                  <c:v>14991.8</c:v>
                </c:pt>
                <c:pt idx="32">
                  <c:v>14889.5</c:v>
                </c:pt>
                <c:pt idx="33">
                  <c:v>14963.4</c:v>
                </c:pt>
                <c:pt idx="34">
                  <c:v>14891.6</c:v>
                </c:pt>
                <c:pt idx="35">
                  <c:v>14577</c:v>
                </c:pt>
                <c:pt idx="36">
                  <c:v>14375</c:v>
                </c:pt>
                <c:pt idx="37">
                  <c:v>14355.6</c:v>
                </c:pt>
                <c:pt idx="38">
                  <c:v>14402.5</c:v>
                </c:pt>
                <c:pt idx="39">
                  <c:v>14541.9</c:v>
                </c:pt>
                <c:pt idx="40">
                  <c:v>14604.8</c:v>
                </c:pt>
                <c:pt idx="41">
                  <c:v>14745.9</c:v>
                </c:pt>
                <c:pt idx="42">
                  <c:v>14845.5</c:v>
                </c:pt>
                <c:pt idx="43">
                  <c:v>14939</c:v>
                </c:pt>
                <c:pt idx="44">
                  <c:v>14881.3</c:v>
                </c:pt>
                <c:pt idx="45">
                  <c:v>14989.6</c:v>
                </c:pt>
                <c:pt idx="46">
                  <c:v>15021.1</c:v>
                </c:pt>
                <c:pt idx="47">
                  <c:v>15190.3</c:v>
                </c:pt>
                <c:pt idx="48">
                  <c:v>15291</c:v>
                </c:pt>
                <c:pt idx="49">
                  <c:v>15362.4</c:v>
                </c:pt>
                <c:pt idx="50">
                  <c:v>15380.8</c:v>
                </c:pt>
                <c:pt idx="51">
                  <c:v>15384.3</c:v>
                </c:pt>
                <c:pt idx="52">
                  <c:v>15491.9</c:v>
                </c:pt>
                <c:pt idx="53">
                  <c:v>15521.6</c:v>
                </c:pt>
                <c:pt idx="54">
                  <c:v>15641.3</c:v>
                </c:pt>
                <c:pt idx="55">
                  <c:v>15793.9</c:v>
                </c:pt>
                <c:pt idx="56">
                  <c:v>15747</c:v>
                </c:pt>
                <c:pt idx="57">
                  <c:v>15900.8</c:v>
                </c:pt>
                <c:pt idx="58">
                  <c:v>16094.5</c:v>
                </c:pt>
                <c:pt idx="59">
                  <c:v>16186.7</c:v>
                </c:pt>
                <c:pt idx="60">
                  <c:v>16269</c:v>
                </c:pt>
                <c:pt idx="61">
                  <c:v>16374.2</c:v>
                </c:pt>
                <c:pt idx="62">
                  <c:v>16454.900000000001</c:v>
                </c:pt>
                <c:pt idx="63">
                  <c:v>16490.7</c:v>
                </c:pt>
                <c:pt idx="64">
                  <c:v>16525</c:v>
                </c:pt>
                <c:pt idx="65">
                  <c:v>16583.099999999999</c:v>
                </c:pt>
                <c:pt idx="66">
                  <c:v>16702.099999999999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3-4AC9-968C-41209CEAC597}"/>
            </c:ext>
          </c:extLst>
        </c:ser>
        <c:ser>
          <c:idx val="1"/>
          <c:order val="1"/>
          <c:tx>
            <c:strRef>
              <c:f>'graph 2'!$E$2</c:f>
              <c:strCache>
                <c:ptCount val="1"/>
                <c:pt idx="0">
                  <c:v>potential GDP (2015 est.)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2'!$E$3:$E$73</c:f>
              <c:numCache>
                <c:formatCode>General</c:formatCode>
                <c:ptCount val="71"/>
                <c:pt idx="0">
                  <c:v>12123.7</c:v>
                </c:pt>
                <c:pt idx="1">
                  <c:v>12232.3</c:v>
                </c:pt>
                <c:pt idx="2">
                  <c:v>12343</c:v>
                </c:pt>
                <c:pt idx="3">
                  <c:v>12455.4</c:v>
                </c:pt>
                <c:pt idx="4">
                  <c:v>12570.3</c:v>
                </c:pt>
                <c:pt idx="5">
                  <c:v>12684.7</c:v>
                </c:pt>
                <c:pt idx="6">
                  <c:v>12798.3</c:v>
                </c:pt>
                <c:pt idx="7">
                  <c:v>12910.2</c:v>
                </c:pt>
                <c:pt idx="8">
                  <c:v>13016.8</c:v>
                </c:pt>
                <c:pt idx="9">
                  <c:v>13121.9</c:v>
                </c:pt>
                <c:pt idx="10">
                  <c:v>13224.4</c:v>
                </c:pt>
                <c:pt idx="11">
                  <c:v>13324.4</c:v>
                </c:pt>
                <c:pt idx="12">
                  <c:v>13422.1</c:v>
                </c:pt>
                <c:pt idx="13">
                  <c:v>13515.4</c:v>
                </c:pt>
                <c:pt idx="14">
                  <c:v>13606</c:v>
                </c:pt>
                <c:pt idx="15">
                  <c:v>13693.9</c:v>
                </c:pt>
                <c:pt idx="16">
                  <c:v>13778.6</c:v>
                </c:pt>
                <c:pt idx="17">
                  <c:v>13860.8</c:v>
                </c:pt>
                <c:pt idx="18">
                  <c:v>13942</c:v>
                </c:pt>
                <c:pt idx="19">
                  <c:v>14023</c:v>
                </c:pt>
                <c:pt idx="20">
                  <c:v>14105.9</c:v>
                </c:pt>
                <c:pt idx="21">
                  <c:v>14190.7</c:v>
                </c:pt>
                <c:pt idx="22">
                  <c:v>14276.3</c:v>
                </c:pt>
                <c:pt idx="23">
                  <c:v>14362.9</c:v>
                </c:pt>
                <c:pt idx="24">
                  <c:v>14451</c:v>
                </c:pt>
                <c:pt idx="25">
                  <c:v>14540.5</c:v>
                </c:pt>
                <c:pt idx="26">
                  <c:v>14629.9</c:v>
                </c:pt>
                <c:pt idx="27">
                  <c:v>14718.6</c:v>
                </c:pt>
                <c:pt idx="28">
                  <c:v>14805.1</c:v>
                </c:pt>
                <c:pt idx="29">
                  <c:v>14889.6</c:v>
                </c:pt>
                <c:pt idx="30">
                  <c:v>14972.3</c:v>
                </c:pt>
                <c:pt idx="31">
                  <c:v>15052.9</c:v>
                </c:pt>
                <c:pt idx="32">
                  <c:v>15130.6</c:v>
                </c:pt>
                <c:pt idx="33">
                  <c:v>15208.7</c:v>
                </c:pt>
                <c:pt idx="34">
                  <c:v>15283.9</c:v>
                </c:pt>
                <c:pt idx="35">
                  <c:v>15355.5</c:v>
                </c:pt>
                <c:pt idx="36">
                  <c:v>15422.8</c:v>
                </c:pt>
                <c:pt idx="37">
                  <c:v>15479.9</c:v>
                </c:pt>
                <c:pt idx="38">
                  <c:v>15532.4</c:v>
                </c:pt>
                <c:pt idx="39">
                  <c:v>15581.2</c:v>
                </c:pt>
                <c:pt idx="40">
                  <c:v>15624.8</c:v>
                </c:pt>
                <c:pt idx="41">
                  <c:v>15669.1</c:v>
                </c:pt>
                <c:pt idx="42">
                  <c:v>15713.7</c:v>
                </c:pt>
                <c:pt idx="43">
                  <c:v>15759.9</c:v>
                </c:pt>
                <c:pt idx="44">
                  <c:v>15813.6</c:v>
                </c:pt>
                <c:pt idx="45">
                  <c:v>15869.2</c:v>
                </c:pt>
                <c:pt idx="46">
                  <c:v>15926.3</c:v>
                </c:pt>
                <c:pt idx="47">
                  <c:v>15984.6</c:v>
                </c:pt>
                <c:pt idx="48">
                  <c:v>16041.8</c:v>
                </c:pt>
                <c:pt idx="49">
                  <c:v>16100.3</c:v>
                </c:pt>
                <c:pt idx="50">
                  <c:v>16159.4</c:v>
                </c:pt>
                <c:pt idx="51">
                  <c:v>16218.9</c:v>
                </c:pt>
                <c:pt idx="52">
                  <c:v>16279.2</c:v>
                </c:pt>
                <c:pt idx="53">
                  <c:v>16338.4</c:v>
                </c:pt>
                <c:pt idx="54">
                  <c:v>16398.099999999999</c:v>
                </c:pt>
                <c:pt idx="55">
                  <c:v>16458.3</c:v>
                </c:pt>
                <c:pt idx="56">
                  <c:v>16519</c:v>
                </c:pt>
                <c:pt idx="57">
                  <c:v>16581.5</c:v>
                </c:pt>
                <c:pt idx="58">
                  <c:v>16645.8</c:v>
                </c:pt>
                <c:pt idx="59">
                  <c:v>16712</c:v>
                </c:pt>
                <c:pt idx="60">
                  <c:v>16781.7</c:v>
                </c:pt>
                <c:pt idx="61">
                  <c:v>16853.099999999999</c:v>
                </c:pt>
                <c:pt idx="62">
                  <c:v>16926.5</c:v>
                </c:pt>
                <c:pt idx="63">
                  <c:v>17001.8</c:v>
                </c:pt>
                <c:pt idx="64">
                  <c:v>17078.599999999999</c:v>
                </c:pt>
                <c:pt idx="65">
                  <c:v>17157.599999999999</c:v>
                </c:pt>
                <c:pt idx="66">
                  <c:v>17238.900000000001</c:v>
                </c:pt>
                <c:pt idx="67">
                  <c:v>17322.5</c:v>
                </c:pt>
                <c:pt idx="68">
                  <c:v>17409.2</c:v>
                </c:pt>
                <c:pt idx="69">
                  <c:v>17499</c:v>
                </c:pt>
                <c:pt idx="70">
                  <c:v>17591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3-4AC9-968C-41209CEAC597}"/>
            </c:ext>
          </c:extLst>
        </c:ser>
        <c:ser>
          <c:idx val="2"/>
          <c:order val="2"/>
          <c:tx>
            <c:strRef>
              <c:f>'graph 2'!$G$2</c:f>
              <c:strCache>
                <c:ptCount val="1"/>
                <c:pt idx="0">
                  <c:v>potential GDP (2014 est.)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2'!$G$3:$G$73</c:f>
              <c:numCache>
                <c:formatCode>General</c:formatCode>
                <c:ptCount val="71"/>
                <c:pt idx="0">
                  <c:v>12062</c:v>
                </c:pt>
                <c:pt idx="1">
                  <c:v>12171.2</c:v>
                </c:pt>
                <c:pt idx="2">
                  <c:v>12281.8</c:v>
                </c:pt>
                <c:pt idx="3">
                  <c:v>12393.4</c:v>
                </c:pt>
                <c:pt idx="4">
                  <c:v>12505.9</c:v>
                </c:pt>
                <c:pt idx="5">
                  <c:v>12618.3</c:v>
                </c:pt>
                <c:pt idx="6">
                  <c:v>12730.4</c:v>
                </c:pt>
                <c:pt idx="7">
                  <c:v>12841.7</c:v>
                </c:pt>
                <c:pt idx="8">
                  <c:v>12950.5</c:v>
                </c:pt>
                <c:pt idx="9">
                  <c:v>13059.7</c:v>
                </c:pt>
                <c:pt idx="10">
                  <c:v>13167.2</c:v>
                </c:pt>
                <c:pt idx="11">
                  <c:v>13272.7</c:v>
                </c:pt>
                <c:pt idx="12">
                  <c:v>13375.7</c:v>
                </c:pt>
                <c:pt idx="13">
                  <c:v>13474.2</c:v>
                </c:pt>
                <c:pt idx="14">
                  <c:v>13569.6</c:v>
                </c:pt>
                <c:pt idx="15">
                  <c:v>13661.8</c:v>
                </c:pt>
                <c:pt idx="16">
                  <c:v>13749.3</c:v>
                </c:pt>
                <c:pt idx="17">
                  <c:v>13833.7</c:v>
                </c:pt>
                <c:pt idx="18">
                  <c:v>13916.1</c:v>
                </c:pt>
                <c:pt idx="19">
                  <c:v>13997.5</c:v>
                </c:pt>
                <c:pt idx="20">
                  <c:v>14080</c:v>
                </c:pt>
                <c:pt idx="21">
                  <c:v>14162.2</c:v>
                </c:pt>
                <c:pt idx="22">
                  <c:v>14244.6</c:v>
                </c:pt>
                <c:pt idx="23">
                  <c:v>14327.5</c:v>
                </c:pt>
                <c:pt idx="24">
                  <c:v>14411.7</c:v>
                </c:pt>
                <c:pt idx="25">
                  <c:v>14497.1</c:v>
                </c:pt>
                <c:pt idx="26">
                  <c:v>14583.2</c:v>
                </c:pt>
                <c:pt idx="27">
                  <c:v>14669.8</c:v>
                </c:pt>
                <c:pt idx="28">
                  <c:v>14757</c:v>
                </c:pt>
                <c:pt idx="29">
                  <c:v>14846.3</c:v>
                </c:pt>
                <c:pt idx="30">
                  <c:v>14935</c:v>
                </c:pt>
                <c:pt idx="31">
                  <c:v>15022.3</c:v>
                </c:pt>
                <c:pt idx="32">
                  <c:v>15107</c:v>
                </c:pt>
                <c:pt idx="33">
                  <c:v>15188.7</c:v>
                </c:pt>
                <c:pt idx="34">
                  <c:v>15266.9</c:v>
                </c:pt>
                <c:pt idx="35">
                  <c:v>15340.8</c:v>
                </c:pt>
                <c:pt idx="36">
                  <c:v>15408.3</c:v>
                </c:pt>
                <c:pt idx="37">
                  <c:v>15468.8</c:v>
                </c:pt>
                <c:pt idx="38">
                  <c:v>15525.4</c:v>
                </c:pt>
                <c:pt idx="39">
                  <c:v>15579.1</c:v>
                </c:pt>
                <c:pt idx="40">
                  <c:v>15630.7</c:v>
                </c:pt>
                <c:pt idx="41">
                  <c:v>15681</c:v>
                </c:pt>
                <c:pt idx="42">
                  <c:v>15731</c:v>
                </c:pt>
                <c:pt idx="43">
                  <c:v>15781.7</c:v>
                </c:pt>
                <c:pt idx="44">
                  <c:v>15836.2</c:v>
                </c:pt>
                <c:pt idx="45">
                  <c:v>15892.5</c:v>
                </c:pt>
                <c:pt idx="46">
                  <c:v>15950.5</c:v>
                </c:pt>
                <c:pt idx="47">
                  <c:v>16010.1</c:v>
                </c:pt>
                <c:pt idx="48">
                  <c:v>16071.5</c:v>
                </c:pt>
                <c:pt idx="49">
                  <c:v>16135.2</c:v>
                </c:pt>
                <c:pt idx="50">
                  <c:v>16200.1</c:v>
                </c:pt>
                <c:pt idx="51">
                  <c:v>16266</c:v>
                </c:pt>
                <c:pt idx="52">
                  <c:v>16332.3</c:v>
                </c:pt>
                <c:pt idx="53">
                  <c:v>16398</c:v>
                </c:pt>
                <c:pt idx="54">
                  <c:v>16464.2</c:v>
                </c:pt>
                <c:pt idx="55">
                  <c:v>16531</c:v>
                </c:pt>
                <c:pt idx="56">
                  <c:v>16597.8</c:v>
                </c:pt>
                <c:pt idx="57">
                  <c:v>16665.3</c:v>
                </c:pt>
                <c:pt idx="58">
                  <c:v>16734.5</c:v>
                </c:pt>
                <c:pt idx="59">
                  <c:v>16805.8</c:v>
                </c:pt>
                <c:pt idx="60">
                  <c:v>16880.599999999999</c:v>
                </c:pt>
                <c:pt idx="61">
                  <c:v>16958.400000000001</c:v>
                </c:pt>
                <c:pt idx="62">
                  <c:v>17038.900000000001</c:v>
                </c:pt>
                <c:pt idx="63">
                  <c:v>17122.099999999999</c:v>
                </c:pt>
                <c:pt idx="64">
                  <c:v>17208.099999999999</c:v>
                </c:pt>
                <c:pt idx="65">
                  <c:v>17296.7</c:v>
                </c:pt>
                <c:pt idx="66">
                  <c:v>17387.599999999999</c:v>
                </c:pt>
                <c:pt idx="67">
                  <c:v>17480.5</c:v>
                </c:pt>
                <c:pt idx="68">
                  <c:v>17575</c:v>
                </c:pt>
                <c:pt idx="69">
                  <c:v>17671.7</c:v>
                </c:pt>
                <c:pt idx="70">
                  <c:v>17770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3-4AC9-968C-41209CEAC597}"/>
            </c:ext>
          </c:extLst>
        </c:ser>
        <c:ser>
          <c:idx val="3"/>
          <c:order val="3"/>
          <c:tx>
            <c:v>potential GDP (2016 est.)</c:v>
          </c:tx>
          <c:marker>
            <c:symbol val="none"/>
          </c:marker>
          <c:val>
            <c:numRef>
              <c:f>'graph 2'!$C$3:$C$73</c:f>
              <c:numCache>
                <c:formatCode>0.0</c:formatCode>
                <c:ptCount val="71"/>
                <c:pt idx="0">
                  <c:v>12136.5</c:v>
                </c:pt>
                <c:pt idx="1">
                  <c:v>12243.8</c:v>
                </c:pt>
                <c:pt idx="2">
                  <c:v>12352.8</c:v>
                </c:pt>
                <c:pt idx="3">
                  <c:v>12463.2</c:v>
                </c:pt>
                <c:pt idx="4">
                  <c:v>12576.2</c:v>
                </c:pt>
                <c:pt idx="5">
                  <c:v>12689</c:v>
                </c:pt>
                <c:pt idx="6">
                  <c:v>12801.1</c:v>
                </c:pt>
                <c:pt idx="7">
                  <c:v>12911.5</c:v>
                </c:pt>
                <c:pt idx="8">
                  <c:v>13016.9</c:v>
                </c:pt>
                <c:pt idx="9">
                  <c:v>13120.7</c:v>
                </c:pt>
                <c:pt idx="10">
                  <c:v>13221.8</c:v>
                </c:pt>
                <c:pt idx="11">
                  <c:v>13320.2</c:v>
                </c:pt>
                <c:pt idx="12">
                  <c:v>13415.9</c:v>
                </c:pt>
                <c:pt idx="13">
                  <c:v>13507.1</c:v>
                </c:pt>
                <c:pt idx="14">
                  <c:v>13595.1</c:v>
                </c:pt>
                <c:pt idx="15">
                  <c:v>13680.1</c:v>
                </c:pt>
                <c:pt idx="16">
                  <c:v>13761.4</c:v>
                </c:pt>
                <c:pt idx="17">
                  <c:v>13839.3</c:v>
                </c:pt>
                <c:pt idx="18">
                  <c:v>13915.6</c:v>
                </c:pt>
                <c:pt idx="19">
                  <c:v>13990.9</c:v>
                </c:pt>
                <c:pt idx="20">
                  <c:v>14067.3</c:v>
                </c:pt>
                <c:pt idx="21">
                  <c:v>14144.5</c:v>
                </c:pt>
                <c:pt idx="22">
                  <c:v>14222.2</c:v>
                </c:pt>
                <c:pt idx="23">
                  <c:v>14300.4</c:v>
                </c:pt>
                <c:pt idx="24">
                  <c:v>14380.3</c:v>
                </c:pt>
                <c:pt idx="25">
                  <c:v>14461.5</c:v>
                </c:pt>
                <c:pt idx="26">
                  <c:v>14542.7</c:v>
                </c:pt>
                <c:pt idx="27">
                  <c:v>14623.5</c:v>
                </c:pt>
                <c:pt idx="28">
                  <c:v>14702.9</c:v>
                </c:pt>
                <c:pt idx="29">
                  <c:v>14781.3</c:v>
                </c:pt>
                <c:pt idx="30">
                  <c:v>14858.3</c:v>
                </c:pt>
                <c:pt idx="31">
                  <c:v>14933.4</c:v>
                </c:pt>
                <c:pt idx="32">
                  <c:v>15005.5</c:v>
                </c:pt>
                <c:pt idx="33">
                  <c:v>15076.9</c:v>
                </c:pt>
                <c:pt idx="34">
                  <c:v>15145.3</c:v>
                </c:pt>
                <c:pt idx="35">
                  <c:v>15209.9</c:v>
                </c:pt>
                <c:pt idx="36">
                  <c:v>15270</c:v>
                </c:pt>
                <c:pt idx="37">
                  <c:v>15321.7</c:v>
                </c:pt>
                <c:pt idx="38">
                  <c:v>15369.1</c:v>
                </c:pt>
                <c:pt idx="39">
                  <c:v>15413</c:v>
                </c:pt>
                <c:pt idx="40">
                  <c:v>15452.7</c:v>
                </c:pt>
                <c:pt idx="41">
                  <c:v>15491.4</c:v>
                </c:pt>
                <c:pt idx="42">
                  <c:v>15530</c:v>
                </c:pt>
                <c:pt idx="43">
                  <c:v>15569.6</c:v>
                </c:pt>
                <c:pt idx="44">
                  <c:v>15615</c:v>
                </c:pt>
                <c:pt idx="45">
                  <c:v>15662.2</c:v>
                </c:pt>
                <c:pt idx="46">
                  <c:v>15711.5</c:v>
                </c:pt>
                <c:pt idx="47">
                  <c:v>15762.9</c:v>
                </c:pt>
                <c:pt idx="48">
                  <c:v>15815.8</c:v>
                </c:pt>
                <c:pt idx="49">
                  <c:v>15871.4</c:v>
                </c:pt>
                <c:pt idx="50">
                  <c:v>15929</c:v>
                </c:pt>
                <c:pt idx="51">
                  <c:v>15988.3</c:v>
                </c:pt>
                <c:pt idx="52">
                  <c:v>16049.3</c:v>
                </c:pt>
                <c:pt idx="53">
                  <c:v>16111.4</c:v>
                </c:pt>
                <c:pt idx="54">
                  <c:v>16174.5</c:v>
                </c:pt>
                <c:pt idx="55">
                  <c:v>16238.5</c:v>
                </c:pt>
                <c:pt idx="56">
                  <c:v>16302.5</c:v>
                </c:pt>
                <c:pt idx="57">
                  <c:v>16367.8</c:v>
                </c:pt>
                <c:pt idx="58">
                  <c:v>16433.7</c:v>
                </c:pt>
                <c:pt idx="59">
                  <c:v>16500.099999999999</c:v>
                </c:pt>
                <c:pt idx="60">
                  <c:v>16567.099999999999</c:v>
                </c:pt>
                <c:pt idx="61">
                  <c:v>16633.900000000001</c:v>
                </c:pt>
                <c:pt idx="62">
                  <c:v>16700.599999999999</c:v>
                </c:pt>
                <c:pt idx="63">
                  <c:v>16767</c:v>
                </c:pt>
                <c:pt idx="64">
                  <c:v>16832.400000000001</c:v>
                </c:pt>
                <c:pt idx="65">
                  <c:v>16896.8</c:v>
                </c:pt>
                <c:pt idx="66">
                  <c:v>16961.099999999999</c:v>
                </c:pt>
                <c:pt idx="67">
                  <c:v>17025.599999999999</c:v>
                </c:pt>
                <c:pt idx="68">
                  <c:v>17090.8</c:v>
                </c:pt>
                <c:pt idx="69">
                  <c:v>17156.7</c:v>
                </c:pt>
                <c:pt idx="70">
                  <c:v>17223.400000000001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3-4AC9-968C-41209CEAC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953920"/>
        <c:axId val="379955456"/>
      </c:lineChart>
      <c:dateAx>
        <c:axId val="379953920"/>
        <c:scaling>
          <c:orientation val="minMax"/>
          <c:min val="38353"/>
        </c:scaling>
        <c:delete val="0"/>
        <c:axPos val="b"/>
        <c:numFmt formatCode="[$-409]mmm\-yyyy;@" sourceLinked="1"/>
        <c:majorTickMark val="out"/>
        <c:minorTickMark val="none"/>
        <c:tickLblPos val="nextTo"/>
        <c:crossAx val="379955456"/>
        <c:crosses val="autoZero"/>
        <c:auto val="1"/>
        <c:lblOffset val="100"/>
        <c:baseTimeUnit val="months"/>
      </c:dateAx>
      <c:valAx>
        <c:axId val="379955456"/>
        <c:scaling>
          <c:orientation val="minMax"/>
          <c:min val="1400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billions of</a:t>
                </a:r>
                <a:r>
                  <a:rPr lang="en-US" baseline="0"/>
                  <a:t> chained 2009 dollars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799539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 2'!$D$2</c:f>
              <c:strCache>
                <c:ptCount val="1"/>
                <c:pt idx="0">
                  <c:v>GDP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2'!$D$3:$D$73</c:f>
              <c:numCache>
                <c:formatCode>General</c:formatCode>
                <c:ptCount val="71"/>
                <c:pt idx="0">
                  <c:v>12359.1</c:v>
                </c:pt>
                <c:pt idx="1">
                  <c:v>12592.5</c:v>
                </c:pt>
                <c:pt idx="2">
                  <c:v>12607.7</c:v>
                </c:pt>
                <c:pt idx="3">
                  <c:v>12679.3</c:v>
                </c:pt>
                <c:pt idx="4">
                  <c:v>12643.3</c:v>
                </c:pt>
                <c:pt idx="5">
                  <c:v>12710.3</c:v>
                </c:pt>
                <c:pt idx="6">
                  <c:v>12670.1</c:v>
                </c:pt>
                <c:pt idx="7">
                  <c:v>12705.3</c:v>
                </c:pt>
                <c:pt idx="8">
                  <c:v>12822.3</c:v>
                </c:pt>
                <c:pt idx="9">
                  <c:v>12893</c:v>
                </c:pt>
                <c:pt idx="10">
                  <c:v>12955.8</c:v>
                </c:pt>
                <c:pt idx="11">
                  <c:v>12964</c:v>
                </c:pt>
                <c:pt idx="12">
                  <c:v>13031.2</c:v>
                </c:pt>
                <c:pt idx="13">
                  <c:v>13152.1</c:v>
                </c:pt>
                <c:pt idx="14">
                  <c:v>13372.4</c:v>
                </c:pt>
                <c:pt idx="15">
                  <c:v>13528.7</c:v>
                </c:pt>
                <c:pt idx="16">
                  <c:v>13606.5</c:v>
                </c:pt>
                <c:pt idx="17">
                  <c:v>13706.2</c:v>
                </c:pt>
                <c:pt idx="18">
                  <c:v>13830.8</c:v>
                </c:pt>
                <c:pt idx="19">
                  <c:v>13950.4</c:v>
                </c:pt>
                <c:pt idx="20">
                  <c:v>14099.1</c:v>
                </c:pt>
                <c:pt idx="21">
                  <c:v>14172.7</c:v>
                </c:pt>
                <c:pt idx="22">
                  <c:v>14291.8</c:v>
                </c:pt>
                <c:pt idx="23">
                  <c:v>14373.4</c:v>
                </c:pt>
                <c:pt idx="24">
                  <c:v>14546.1</c:v>
                </c:pt>
                <c:pt idx="25">
                  <c:v>14589.6</c:v>
                </c:pt>
                <c:pt idx="26">
                  <c:v>14602.6</c:v>
                </c:pt>
                <c:pt idx="27">
                  <c:v>14716.9</c:v>
                </c:pt>
                <c:pt idx="28">
                  <c:v>14726</c:v>
                </c:pt>
                <c:pt idx="29">
                  <c:v>14838.7</c:v>
                </c:pt>
                <c:pt idx="30">
                  <c:v>14938.5</c:v>
                </c:pt>
                <c:pt idx="31">
                  <c:v>14991.8</c:v>
                </c:pt>
                <c:pt idx="32">
                  <c:v>14889.5</c:v>
                </c:pt>
                <c:pt idx="33">
                  <c:v>14963.4</c:v>
                </c:pt>
                <c:pt idx="34">
                  <c:v>14891.6</c:v>
                </c:pt>
                <c:pt idx="35">
                  <c:v>14577</c:v>
                </c:pt>
                <c:pt idx="36">
                  <c:v>14375</c:v>
                </c:pt>
                <c:pt idx="37">
                  <c:v>14355.6</c:v>
                </c:pt>
                <c:pt idx="38">
                  <c:v>14402.5</c:v>
                </c:pt>
                <c:pt idx="39">
                  <c:v>14541.9</c:v>
                </c:pt>
                <c:pt idx="40">
                  <c:v>14604.8</c:v>
                </c:pt>
                <c:pt idx="41">
                  <c:v>14745.9</c:v>
                </c:pt>
                <c:pt idx="42">
                  <c:v>14845.5</c:v>
                </c:pt>
                <c:pt idx="43">
                  <c:v>14939</c:v>
                </c:pt>
                <c:pt idx="44">
                  <c:v>14881.3</c:v>
                </c:pt>
                <c:pt idx="45">
                  <c:v>14989.6</c:v>
                </c:pt>
                <c:pt idx="46">
                  <c:v>15021.1</c:v>
                </c:pt>
                <c:pt idx="47">
                  <c:v>15190.3</c:v>
                </c:pt>
                <c:pt idx="48">
                  <c:v>15291</c:v>
                </c:pt>
                <c:pt idx="49">
                  <c:v>15362.4</c:v>
                </c:pt>
                <c:pt idx="50">
                  <c:v>15380.8</c:v>
                </c:pt>
                <c:pt idx="51">
                  <c:v>15384.3</c:v>
                </c:pt>
                <c:pt idx="52">
                  <c:v>15457.2</c:v>
                </c:pt>
                <c:pt idx="53">
                  <c:v>15500.2</c:v>
                </c:pt>
                <c:pt idx="54">
                  <c:v>15614.4</c:v>
                </c:pt>
                <c:pt idx="55">
                  <c:v>15761.5</c:v>
                </c:pt>
                <c:pt idx="56">
                  <c:v>15724.9</c:v>
                </c:pt>
                <c:pt idx="57">
                  <c:v>15901.5</c:v>
                </c:pt>
                <c:pt idx="58">
                  <c:v>16068.8</c:v>
                </c:pt>
                <c:pt idx="59">
                  <c:v>16151.4</c:v>
                </c:pt>
                <c:pt idx="60">
                  <c:v>16177.3</c:v>
                </c:pt>
                <c:pt idx="61">
                  <c:v>16333.6</c:v>
                </c:pt>
                <c:pt idx="62">
                  <c:v>16394.2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5-488B-86A0-18CBC722A99D}"/>
            </c:ext>
          </c:extLst>
        </c:ser>
        <c:ser>
          <c:idx val="1"/>
          <c:order val="1"/>
          <c:tx>
            <c:strRef>
              <c:f>'graph 2'!$C$2</c:f>
              <c:strCache>
                <c:ptCount val="1"/>
                <c:pt idx="0">
                  <c:v>potential GDP (2016 est.)</c:v>
                </c:pt>
              </c:strCache>
            </c:strRef>
          </c:tx>
          <c:marker>
            <c:symbol val="none"/>
          </c:marker>
          <c:cat>
            <c:numRef>
              <c:f>'graph 2'!$A$3:$A$73</c:f>
              <c:numCache>
                <c:formatCode>[$-409]mmm\-yyyy;@</c:formatCode>
                <c:ptCount val="71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  <c:pt idx="70">
                  <c:v>42917</c:v>
                </c:pt>
              </c:numCache>
            </c:numRef>
          </c:cat>
          <c:val>
            <c:numRef>
              <c:f>'graph 2'!$C$3:$C$73</c:f>
              <c:numCache>
                <c:formatCode>0.0</c:formatCode>
                <c:ptCount val="71"/>
                <c:pt idx="0">
                  <c:v>12136.5</c:v>
                </c:pt>
                <c:pt idx="1">
                  <c:v>12243.8</c:v>
                </c:pt>
                <c:pt idx="2">
                  <c:v>12352.8</c:v>
                </c:pt>
                <c:pt idx="3">
                  <c:v>12463.2</c:v>
                </c:pt>
                <c:pt idx="4">
                  <c:v>12576.2</c:v>
                </c:pt>
                <c:pt idx="5">
                  <c:v>12689</c:v>
                </c:pt>
                <c:pt idx="6">
                  <c:v>12801.1</c:v>
                </c:pt>
                <c:pt idx="7">
                  <c:v>12911.5</c:v>
                </c:pt>
                <c:pt idx="8">
                  <c:v>13016.9</c:v>
                </c:pt>
                <c:pt idx="9">
                  <c:v>13120.7</c:v>
                </c:pt>
                <c:pt idx="10">
                  <c:v>13221.8</c:v>
                </c:pt>
                <c:pt idx="11">
                  <c:v>13320.2</c:v>
                </c:pt>
                <c:pt idx="12">
                  <c:v>13415.9</c:v>
                </c:pt>
                <c:pt idx="13">
                  <c:v>13507.1</c:v>
                </c:pt>
                <c:pt idx="14">
                  <c:v>13595.1</c:v>
                </c:pt>
                <c:pt idx="15">
                  <c:v>13680.1</c:v>
                </c:pt>
                <c:pt idx="16">
                  <c:v>13761.4</c:v>
                </c:pt>
                <c:pt idx="17">
                  <c:v>13839.3</c:v>
                </c:pt>
                <c:pt idx="18">
                  <c:v>13915.6</c:v>
                </c:pt>
                <c:pt idx="19">
                  <c:v>13990.9</c:v>
                </c:pt>
                <c:pt idx="20">
                  <c:v>14067.3</c:v>
                </c:pt>
                <c:pt idx="21">
                  <c:v>14144.5</c:v>
                </c:pt>
                <c:pt idx="22">
                  <c:v>14222.2</c:v>
                </c:pt>
                <c:pt idx="23">
                  <c:v>14300.4</c:v>
                </c:pt>
                <c:pt idx="24">
                  <c:v>14380.3</c:v>
                </c:pt>
                <c:pt idx="25">
                  <c:v>14461.5</c:v>
                </c:pt>
                <c:pt idx="26">
                  <c:v>14542.7</c:v>
                </c:pt>
                <c:pt idx="27">
                  <c:v>14623.5</c:v>
                </c:pt>
                <c:pt idx="28">
                  <c:v>14702.9</c:v>
                </c:pt>
                <c:pt idx="29">
                  <c:v>14781.3</c:v>
                </c:pt>
                <c:pt idx="30">
                  <c:v>14858.3</c:v>
                </c:pt>
                <c:pt idx="31">
                  <c:v>14933.4</c:v>
                </c:pt>
                <c:pt idx="32">
                  <c:v>15005.5</c:v>
                </c:pt>
                <c:pt idx="33">
                  <c:v>15076.9</c:v>
                </c:pt>
                <c:pt idx="34">
                  <c:v>15145.3</c:v>
                </c:pt>
                <c:pt idx="35">
                  <c:v>15209.9</c:v>
                </c:pt>
                <c:pt idx="36">
                  <c:v>15270</c:v>
                </c:pt>
                <c:pt idx="37">
                  <c:v>15321.7</c:v>
                </c:pt>
                <c:pt idx="38">
                  <c:v>15369.1</c:v>
                </c:pt>
                <c:pt idx="39">
                  <c:v>15413</c:v>
                </c:pt>
                <c:pt idx="40">
                  <c:v>15452.7</c:v>
                </c:pt>
                <c:pt idx="41">
                  <c:v>15491.4</c:v>
                </c:pt>
                <c:pt idx="42">
                  <c:v>15530</c:v>
                </c:pt>
                <c:pt idx="43">
                  <c:v>15569.6</c:v>
                </c:pt>
                <c:pt idx="44">
                  <c:v>15615</c:v>
                </c:pt>
                <c:pt idx="45">
                  <c:v>15662.2</c:v>
                </c:pt>
                <c:pt idx="46">
                  <c:v>15711.5</c:v>
                </c:pt>
                <c:pt idx="47">
                  <c:v>15762.9</c:v>
                </c:pt>
                <c:pt idx="48">
                  <c:v>15815.8</c:v>
                </c:pt>
                <c:pt idx="49">
                  <c:v>15871.4</c:v>
                </c:pt>
                <c:pt idx="50">
                  <c:v>15929</c:v>
                </c:pt>
                <c:pt idx="51">
                  <c:v>15988.3</c:v>
                </c:pt>
                <c:pt idx="52">
                  <c:v>16049.3</c:v>
                </c:pt>
                <c:pt idx="53">
                  <c:v>16111.4</c:v>
                </c:pt>
                <c:pt idx="54">
                  <c:v>16174.5</c:v>
                </c:pt>
                <c:pt idx="55">
                  <c:v>16238.5</c:v>
                </c:pt>
                <c:pt idx="56">
                  <c:v>16302.5</c:v>
                </c:pt>
                <c:pt idx="57">
                  <c:v>16367.8</c:v>
                </c:pt>
                <c:pt idx="58">
                  <c:v>16433.7</c:v>
                </c:pt>
                <c:pt idx="59">
                  <c:v>16500.099999999999</c:v>
                </c:pt>
                <c:pt idx="60">
                  <c:v>16567.099999999999</c:v>
                </c:pt>
                <c:pt idx="61">
                  <c:v>16633.900000000001</c:v>
                </c:pt>
                <c:pt idx="62">
                  <c:v>16700.599999999999</c:v>
                </c:pt>
                <c:pt idx="63">
                  <c:v>16767</c:v>
                </c:pt>
                <c:pt idx="64">
                  <c:v>16832.400000000001</c:v>
                </c:pt>
                <c:pt idx="65">
                  <c:v>16896.8</c:v>
                </c:pt>
                <c:pt idx="66">
                  <c:v>16961.099999999999</c:v>
                </c:pt>
                <c:pt idx="67">
                  <c:v>17025.599999999999</c:v>
                </c:pt>
                <c:pt idx="68">
                  <c:v>17090.8</c:v>
                </c:pt>
                <c:pt idx="69">
                  <c:v>17156.7</c:v>
                </c:pt>
                <c:pt idx="70">
                  <c:v>17223.400000000001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5-488B-86A0-18CBC722A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303680"/>
        <c:axId val="235305216"/>
      </c:lineChart>
      <c:dateAx>
        <c:axId val="235303680"/>
        <c:scaling>
          <c:orientation val="minMax"/>
        </c:scaling>
        <c:delete val="0"/>
        <c:axPos val="b"/>
        <c:numFmt formatCode="[$-409]mmm\-yyyy;@" sourceLinked="1"/>
        <c:majorTickMark val="out"/>
        <c:minorTickMark val="none"/>
        <c:tickLblPos val="nextTo"/>
        <c:crossAx val="235305216"/>
        <c:crosses val="autoZero"/>
        <c:auto val="1"/>
        <c:lblOffset val="100"/>
        <c:baseTimeUnit val="months"/>
      </c:dateAx>
      <c:valAx>
        <c:axId val="235305216"/>
        <c:scaling>
          <c:orientation val="minMax"/>
          <c:min val="1200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billions of</a:t>
                </a:r>
                <a:r>
                  <a:rPr lang="en-US" baseline="0"/>
                  <a:t> chained 2009 dollars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53036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19</xdr:row>
      <xdr:rowOff>109537</xdr:rowOff>
    </xdr:from>
    <xdr:to>
      <xdr:col>10</xdr:col>
      <xdr:colOff>552450</xdr:colOff>
      <xdr:row>36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2</xdr:row>
      <xdr:rowOff>119062</xdr:rowOff>
    </xdr:from>
    <xdr:to>
      <xdr:col>17</xdr:col>
      <xdr:colOff>438150</xdr:colOff>
      <xdr:row>19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21</xdr:row>
      <xdr:rowOff>38100</xdr:rowOff>
    </xdr:from>
    <xdr:to>
      <xdr:col>17</xdr:col>
      <xdr:colOff>438150</xdr:colOff>
      <xdr:row>38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40</xdr:row>
      <xdr:rowOff>0</xdr:rowOff>
    </xdr:from>
    <xdr:to>
      <xdr:col>17</xdr:col>
      <xdr:colOff>304800</xdr:colOff>
      <xdr:row>56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190500</xdr:colOff>
      <xdr:row>57</xdr:row>
      <xdr:rowOff>123825</xdr:rowOff>
    </xdr:from>
    <xdr:to>
      <xdr:col>25</xdr:col>
      <xdr:colOff>495300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58</xdr:row>
      <xdr:rowOff>0</xdr:rowOff>
    </xdr:from>
    <xdr:to>
      <xdr:col>17</xdr:col>
      <xdr:colOff>304800</xdr:colOff>
      <xdr:row>74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A9DC-56AB-49B9-B132-1D16C483C496}">
  <dimension ref="A1:R162"/>
  <sheetViews>
    <sheetView workbookViewId="0">
      <selection activeCell="Q2" sqref="Q2"/>
    </sheetView>
  </sheetViews>
  <sheetFormatPr defaultRowHeight="13.2" x14ac:dyDescent="0.25"/>
  <sheetData>
    <row r="1" spans="1:18" s="14" customFormat="1" x14ac:dyDescent="0.25">
      <c r="A1" s="14" t="s">
        <v>9</v>
      </c>
      <c r="B1" s="14" t="s">
        <v>22</v>
      </c>
      <c r="C1" s="14" t="s">
        <v>21</v>
      </c>
      <c r="D1" s="14" t="s">
        <v>24</v>
      </c>
      <c r="E1" s="14" t="s">
        <v>23</v>
      </c>
      <c r="F1" s="14" t="s">
        <v>26</v>
      </c>
      <c r="G1" s="14" t="s">
        <v>25</v>
      </c>
      <c r="H1" s="14" t="s">
        <v>27</v>
      </c>
      <c r="I1" s="14" t="s">
        <v>28</v>
      </c>
      <c r="J1" s="18" t="s">
        <v>43</v>
      </c>
      <c r="K1" s="18" t="s">
        <v>44</v>
      </c>
      <c r="L1" s="18" t="s">
        <v>52</v>
      </c>
      <c r="M1" s="18" t="s">
        <v>53</v>
      </c>
      <c r="N1" s="18"/>
      <c r="O1" s="18"/>
      <c r="P1" s="18" t="s">
        <v>48</v>
      </c>
      <c r="Q1" s="18" t="s">
        <v>49</v>
      </c>
      <c r="R1" s="18" t="s">
        <v>50</v>
      </c>
    </row>
    <row r="2" spans="1:18" x14ac:dyDescent="0.25">
      <c r="A2" s="10">
        <v>36526</v>
      </c>
      <c r="B2">
        <f>'raw data'!C5*$P$2</f>
        <v>13955.674050945594</v>
      </c>
      <c r="C2">
        <f>'raw data'!D5*$P$2</f>
        <v>13620.194059640729</v>
      </c>
      <c r="D2">
        <f>'raw data'!E5*$P$2</f>
        <v>13955.674050945594</v>
      </c>
      <c r="E2">
        <f>'raw data'!F5*$P$2</f>
        <v>13689.864593008318</v>
      </c>
      <c r="F2">
        <f>'raw data'!G5*$P$2</f>
        <v>13955.674050945594</v>
      </c>
      <c r="G2">
        <f>'raw data'!H5*$P$2</f>
        <v>13704.318123431414</v>
      </c>
      <c r="H2">
        <f>'raw data'!I5*$Q$2</f>
        <v>13880.789235647942</v>
      </c>
      <c r="I2">
        <f>'raw data'!J5*$Q$2</f>
        <v>13688.646583785596</v>
      </c>
      <c r="J2">
        <f>'raw data'!K5*$R$2</f>
        <v>13878.147000000001</v>
      </c>
      <c r="K2">
        <f>'raw data'!L5*$R$2</f>
        <v>13657.90971844553</v>
      </c>
      <c r="L2">
        <f>'raw data'!M5*$R$2</f>
        <v>13878.147000000001</v>
      </c>
      <c r="M2">
        <f>'raw data'!N5*$R$2</f>
        <v>13649.991760000001</v>
      </c>
      <c r="P2">
        <f>deflator_2017_2009</f>
        <v>1.1291820643044876</v>
      </c>
      <c r="Q2">
        <f>deflator_2017_2012</f>
        <v>1.073097705065811</v>
      </c>
      <c r="R2">
        <v>1</v>
      </c>
    </row>
    <row r="3" spans="1:18" x14ac:dyDescent="0.25">
      <c r="A3" s="10">
        <v>36617</v>
      </c>
      <c r="B3">
        <f>'raw data'!C6*$P$2</f>
        <v>14219.22514475426</v>
      </c>
      <c r="C3">
        <f>'raw data'!D6*$P$2</f>
        <v>13743.50074106278</v>
      </c>
      <c r="D3">
        <f>'raw data'!E6*$P$2</f>
        <v>14219.22514475426</v>
      </c>
      <c r="E3">
        <f>'raw data'!F6*$P$2</f>
        <v>13812.493765191783</v>
      </c>
      <c r="F3">
        <f>'raw data'!G6*$P$2</f>
        <v>14219.22514475426</v>
      </c>
      <c r="G3">
        <f>'raw data'!H6*$P$2</f>
        <v>13825.479358931285</v>
      </c>
      <c r="H3">
        <f>'raw data'!I6*$Q$2</f>
        <v>14133.500525897825</v>
      </c>
      <c r="I3">
        <f>'raw data'!J6*$Q$2</f>
        <v>13827.453643018234</v>
      </c>
      <c r="J3">
        <f>'raw data'!K6*$R$2</f>
        <v>14130.907999999999</v>
      </c>
      <c r="K3">
        <f>'raw data'!L6*$R$2</f>
        <v>13802.557909996083</v>
      </c>
      <c r="L3">
        <f>'raw data'!M6*$R$2</f>
        <v>14130.907999999999</v>
      </c>
      <c r="M3">
        <f>'raw data'!N6*$R$2</f>
        <v>13792.736140000001</v>
      </c>
    </row>
    <row r="4" spans="1:18" x14ac:dyDescent="0.25">
      <c r="A4" s="10">
        <v>36708</v>
      </c>
      <c r="B4">
        <f>'raw data'!C7*$P$2</f>
        <v>14236.388712131689</v>
      </c>
      <c r="C4">
        <f>'raw data'!D7*$P$2</f>
        <v>13868.388277374856</v>
      </c>
      <c r="D4">
        <f>'raw data'!E7*$P$2</f>
        <v>14236.388712131689</v>
      </c>
      <c r="E4">
        <f>'raw data'!F7*$P$2</f>
        <v>13937.494219710292</v>
      </c>
      <c r="F4">
        <f>'raw data'!G7*$P$2</f>
        <v>14236.388712131689</v>
      </c>
      <c r="G4">
        <f>'raw data'!H7*$P$2</f>
        <v>13948.560203940475</v>
      </c>
      <c r="H4">
        <f>'raw data'!I7*$Q$2</f>
        <v>14147.602102840096</v>
      </c>
      <c r="I4">
        <f>'raw data'!J7*$Q$2</f>
        <v>13961.051711678268</v>
      </c>
      <c r="J4">
        <f>'raw data'!K7*$R$2</f>
        <v>14145.312</v>
      </c>
      <c r="K4">
        <f>'raw data'!L7*$R$2</f>
        <v>13940.660485459983</v>
      </c>
      <c r="L4">
        <f>'raw data'!M7*$R$2</f>
        <v>14145.312</v>
      </c>
      <c r="M4">
        <f>'raw data'!N7*$R$2</f>
        <v>13929.502</v>
      </c>
    </row>
    <row r="5" spans="1:18" x14ac:dyDescent="0.25">
      <c r="A5" s="10">
        <v>36800</v>
      </c>
      <c r="B5">
        <f>'raw data'!C8*$P$2</f>
        <v>14317.23814793589</v>
      </c>
      <c r="C5">
        <f>'raw data'!D8*$P$2</f>
        <v>13994.404995751236</v>
      </c>
      <c r="D5">
        <f>'raw data'!E8*$P$2</f>
        <v>14317.23814793589</v>
      </c>
      <c r="E5">
        <f>'raw data'!F8*$P$2</f>
        <v>14064.414283738115</v>
      </c>
      <c r="F5">
        <f>'raw data'!G8*$P$2</f>
        <v>14317.23814793589</v>
      </c>
      <c r="G5">
        <f>'raw data'!H8*$P$2</f>
        <v>14073.221903839691</v>
      </c>
      <c r="H5">
        <f>'raw data'!I8*$Q$2</f>
        <v>14231.690039009052</v>
      </c>
      <c r="I5">
        <f>'raw data'!J8*$Q$2</f>
        <v>14088.85512008552</v>
      </c>
      <c r="J5">
        <f>'raw data'!K8*$R$2</f>
        <v>14229.764999999999</v>
      </c>
      <c r="K5">
        <f>'raw data'!L8*$R$2</f>
        <v>14071.401933454321</v>
      </c>
      <c r="L5">
        <f>'raw data'!M8*$R$2</f>
        <v>14229.764999999999</v>
      </c>
      <c r="M5">
        <f>'raw data'!N8*$R$2</f>
        <v>14059.35651</v>
      </c>
    </row>
    <row r="6" spans="1:18" x14ac:dyDescent="0.25">
      <c r="A6" s="10">
        <v>36892</v>
      </c>
      <c r="B6">
        <f>'raw data'!C9*$P$2</f>
        <v>14276.587593620929</v>
      </c>
      <c r="C6">
        <f>'raw data'!D9*$P$2</f>
        <v>14121.437977985492</v>
      </c>
      <c r="D6">
        <f>'raw data'!E9*$P$2</f>
        <v>14276.587593620929</v>
      </c>
      <c r="E6">
        <f>'raw data'!F9*$P$2</f>
        <v>14194.1573029267</v>
      </c>
      <c r="F6">
        <f>'raw data'!G9*$P$2</f>
        <v>14276.587593620929</v>
      </c>
      <c r="G6">
        <f>'raw data'!H9*$P$2</f>
        <v>14200.819477106099</v>
      </c>
      <c r="H6">
        <f>'raw data'!I9*$Q$2</f>
        <v>14185.547910788928</v>
      </c>
      <c r="I6">
        <f>'raw data'!J9*$Q$2</f>
        <v>14210.631692215278</v>
      </c>
      <c r="J6">
        <f>'raw data'!K9*$R$2</f>
        <v>14183.12</v>
      </c>
      <c r="K6">
        <f>'raw data'!L9*$R$2</f>
        <v>14194.982061117891</v>
      </c>
      <c r="L6">
        <f>'raw data'!M9*$R$2</f>
        <v>14183.12</v>
      </c>
      <c r="M6">
        <f>'raw data'!N9*$R$2</f>
        <v>14182.387000000001</v>
      </c>
    </row>
    <row r="7" spans="1:18" x14ac:dyDescent="0.25">
      <c r="A7" s="10">
        <v>36982</v>
      </c>
      <c r="B7">
        <f>'raw data'!C10*$P$2</f>
        <v>14352.242791929328</v>
      </c>
      <c r="C7">
        <f>'raw data'!D10*$P$2</f>
        <v>14248.358042013315</v>
      </c>
      <c r="D7">
        <f>'raw data'!E10*$P$2</f>
        <v>14352.242791929328</v>
      </c>
      <c r="E7">
        <f>'raw data'!F10*$P$2</f>
        <v>14323.335731083136</v>
      </c>
      <c r="F7">
        <f>'raw data'!G10*$P$2</f>
        <v>14352.242791929328</v>
      </c>
      <c r="G7">
        <f>'raw data'!H10*$P$2</f>
        <v>14328.191213959644</v>
      </c>
      <c r="H7">
        <f>'raw data'!I10*$Q$2</f>
        <v>14273.69537557615</v>
      </c>
      <c r="I7">
        <f>'raw data'!J10*$Q$2</f>
        <v>14326.283355436743</v>
      </c>
      <c r="J7">
        <f>'raw data'!K10*$R$2</f>
        <v>14271.694</v>
      </c>
      <c r="K7">
        <f>'raw data'!L10*$R$2</f>
        <v>14311.539722786703</v>
      </c>
      <c r="L7">
        <f>'raw data'!M10*$R$2</f>
        <v>14271.694</v>
      </c>
      <c r="M7">
        <f>'raw data'!N10*$R$2</f>
        <v>14298.497509999999</v>
      </c>
    </row>
    <row r="8" spans="1:18" x14ac:dyDescent="0.25">
      <c r="A8" s="10">
        <v>37073</v>
      </c>
      <c r="B8">
        <f>'raw data'!C11*$P$2</f>
        <v>14306.849672944289</v>
      </c>
      <c r="C8">
        <f>'raw data'!D11*$P$2</f>
        <v>14374.939351421848</v>
      </c>
      <c r="D8">
        <f>'raw data'!E11*$P$2</f>
        <v>14306.849672944289</v>
      </c>
      <c r="E8">
        <f>'raw data'!F11*$P$2</f>
        <v>14451.610813588124</v>
      </c>
      <c r="F8">
        <f>'raw data'!G11*$P$2</f>
        <v>14306.849672944289</v>
      </c>
      <c r="G8">
        <f>'raw data'!H11*$P$2</f>
        <v>14454.772523368178</v>
      </c>
      <c r="H8">
        <f>'raw data'!I11*$Q$2</f>
        <v>14216.550776585984</v>
      </c>
      <c r="I8">
        <f>'raw data'!J11*$Q$2</f>
        <v>14435.851587793013</v>
      </c>
      <c r="J8">
        <f>'raw data'!K11*$R$2</f>
        <v>14214.516</v>
      </c>
      <c r="K8">
        <f>'raw data'!L11*$R$2</f>
        <v>14421.269310856645</v>
      </c>
      <c r="L8">
        <f>'raw data'!M11*$R$2</f>
        <v>14214.516</v>
      </c>
      <c r="M8">
        <f>'raw data'!N11*$R$2</f>
        <v>14407.705180000001</v>
      </c>
    </row>
    <row r="9" spans="1:18" x14ac:dyDescent="0.25">
      <c r="A9" s="10">
        <v>37165</v>
      </c>
      <c r="B9">
        <f>'raw data'!C12*$P$2</f>
        <v>14346.596881607806</v>
      </c>
      <c r="C9">
        <f>'raw data'!D12*$P$2</f>
        <v>14500.617315178939</v>
      </c>
      <c r="D9">
        <f>'raw data'!E12*$P$2</f>
        <v>14346.596881607806</v>
      </c>
      <c r="E9">
        <f>'raw data'!F12*$P$2</f>
        <v>14577.966286583796</v>
      </c>
      <c r="F9">
        <f>'raw data'!G12*$P$2</f>
        <v>14346.596881607806</v>
      </c>
      <c r="G9">
        <f>'raw data'!H12*$P$2</f>
        <v>14579.434223267392</v>
      </c>
      <c r="H9">
        <f>'raw data'!I12*$Q$2</f>
        <v>14255.975313172396</v>
      </c>
      <c r="I9">
        <f>'raw data'!J12*$Q$2</f>
        <v>14540.021387297313</v>
      </c>
      <c r="J9">
        <f>'raw data'!K12*$R$2</f>
        <v>14253.574000000001</v>
      </c>
      <c r="K9">
        <f>'raw data'!L12*$R$2</f>
        <v>14525.225668496101</v>
      </c>
      <c r="L9">
        <f>'raw data'!M12*$R$2</f>
        <v>14253.574000000001</v>
      </c>
      <c r="M9">
        <f>'raw data'!N12*$R$2</f>
        <v>14510.93506</v>
      </c>
    </row>
    <row r="10" spans="1:18" x14ac:dyDescent="0.25">
      <c r="A10" s="10">
        <v>37257</v>
      </c>
      <c r="B10">
        <f>'raw data'!C13*$P$2</f>
        <v>14478.711183131431</v>
      </c>
      <c r="C10">
        <f>'raw data'!D13*$P$2</f>
        <v>14623.472323775268</v>
      </c>
      <c r="D10">
        <f>'raw data'!E13*$P$2</f>
        <v>14478.711183131431</v>
      </c>
      <c r="E10">
        <f>'raw data'!F13*$P$2</f>
        <v>14698.337094638653</v>
      </c>
      <c r="F10">
        <f>'raw data'!G13*$P$2</f>
        <v>14478.711183131431</v>
      </c>
      <c r="G10">
        <f>'raw data'!H13*$P$2</f>
        <v>14698.450012845085</v>
      </c>
      <c r="H10">
        <f>'raw data'!I13*$Q$2</f>
        <v>14374.047180563082</v>
      </c>
      <c r="I10">
        <f>'raw data'!J13*$Q$2</f>
        <v>14639.227494495552</v>
      </c>
      <c r="J10">
        <f>'raw data'!K13*$R$2</f>
        <v>14372.785</v>
      </c>
      <c r="K10">
        <f>'raw data'!L13*$R$2</f>
        <v>14624.00334547519</v>
      </c>
      <c r="L10">
        <f>'raw data'!M13*$R$2</f>
        <v>14372.785</v>
      </c>
      <c r="M10">
        <f>'raw data'!N13*$R$2</f>
        <v>14608.736849999999</v>
      </c>
    </row>
    <row r="11" spans="1:18" x14ac:dyDescent="0.25">
      <c r="A11" s="10">
        <v>37347</v>
      </c>
      <c r="B11">
        <f>'raw data'!C14*$P$2</f>
        <v>14558.54435507776</v>
      </c>
      <c r="C11">
        <f>'raw data'!D14*$P$2</f>
        <v>14746.779005197319</v>
      </c>
      <c r="D11">
        <f>'raw data'!E14*$P$2</f>
        <v>14558.54435507776</v>
      </c>
      <c r="E11">
        <f>'raw data'!F14*$P$2</f>
        <v>14817.014129597055</v>
      </c>
      <c r="F11">
        <f>'raw data'!G14*$P$2</f>
        <v>14558.54435507776</v>
      </c>
      <c r="G11">
        <f>'raw data'!H14*$P$2</f>
        <v>14815.659111119892</v>
      </c>
      <c r="H11">
        <f>'raw data'!I14*$Q$2</f>
        <v>14462.519793954938</v>
      </c>
      <c r="I11">
        <f>'raw data'!J14*$Q$2</f>
        <v>14735.270686912876</v>
      </c>
      <c r="J11">
        <f>'raw data'!K14*$R$2</f>
        <v>14460.848</v>
      </c>
      <c r="K11">
        <f>'raw data'!L14*$R$2</f>
        <v>14719.438901074744</v>
      </c>
      <c r="L11">
        <f>'raw data'!M14*$R$2</f>
        <v>14460.848</v>
      </c>
      <c r="M11">
        <f>'raw data'!N14*$R$2</f>
        <v>14702.896699999999</v>
      </c>
    </row>
    <row r="12" spans="1:18" x14ac:dyDescent="0.25">
      <c r="A12" s="10">
        <v>37438</v>
      </c>
      <c r="B12">
        <f>'raw data'!C15*$P$2</f>
        <v>14629.45698871608</v>
      </c>
      <c r="C12">
        <f>'raw data'!D15*$P$2</f>
        <v>14868.166077110051</v>
      </c>
      <c r="D12">
        <f>'raw data'!E15*$P$2</f>
        <v>14629.45698871608</v>
      </c>
      <c r="E12">
        <f>'raw data'!F15*$P$2</f>
        <v>14932.755291188267</v>
      </c>
      <c r="F12">
        <f>'raw data'!G15*$P$2</f>
        <v>14629.45698871608</v>
      </c>
      <c r="G12">
        <f>'raw data'!H15*$P$2</f>
        <v>14929.819417821074</v>
      </c>
      <c r="H12">
        <f>'raw data'!I15*$Q$2</f>
        <v>14520.880212644943</v>
      </c>
      <c r="I12">
        <f>'raw data'!J15*$Q$2</f>
        <v>14829.589760198403</v>
      </c>
      <c r="J12">
        <f>'raw data'!K15*$R$2</f>
        <v>14519.633</v>
      </c>
      <c r="K12">
        <f>'raw data'!L15*$R$2</f>
        <v>14813.102098646215</v>
      </c>
      <c r="L12">
        <f>'raw data'!M15*$R$2</f>
        <v>14519.633</v>
      </c>
      <c r="M12">
        <f>'raw data'!N15*$R$2</f>
        <v>14795.138269999999</v>
      </c>
    </row>
    <row r="13" spans="1:18" x14ac:dyDescent="0.25">
      <c r="A13" s="10">
        <v>37530</v>
      </c>
      <c r="B13">
        <f>'raw data'!C16*$P$2</f>
        <v>14638.716281643377</v>
      </c>
      <c r="C13">
        <f>'raw data'!D16*$P$2</f>
        <v>14987.294784894173</v>
      </c>
      <c r="D13">
        <f>'raw data'!E16*$P$2</f>
        <v>14638.716281643377</v>
      </c>
      <c r="E13">
        <f>'raw data'!F16*$P$2</f>
        <v>15045.673497618714</v>
      </c>
      <c r="F13">
        <f>'raw data'!G16*$P$2</f>
        <v>14638.716281643377</v>
      </c>
      <c r="G13">
        <f>'raw data'!H16*$P$2</f>
        <v>15040.930932948637</v>
      </c>
      <c r="H13">
        <f>'raw data'!I16*$Q$2</f>
        <v>14539.852580070507</v>
      </c>
      <c r="I13">
        <f>'raw data'!J16*$Q$2</f>
        <v>14922.575118549999</v>
      </c>
      <c r="J13">
        <f>'raw data'!K16*$R$2</f>
        <v>14537.58</v>
      </c>
      <c r="K13">
        <f>'raw data'!L16*$R$2</f>
        <v>14905.535686049083</v>
      </c>
      <c r="L13">
        <f>'raw data'!M16*$R$2</f>
        <v>14537.58</v>
      </c>
      <c r="M13">
        <f>'raw data'!N16*$R$2</f>
        <v>14886.176240000001</v>
      </c>
    </row>
    <row r="14" spans="1:18" x14ac:dyDescent="0.25">
      <c r="A14" s="10">
        <v>37622</v>
      </c>
      <c r="B14">
        <f>'raw data'!C17*$P$2</f>
        <v>14714.597316364639</v>
      </c>
      <c r="C14">
        <f>'raw data'!D17*$P$2</f>
        <v>15103.600537517535</v>
      </c>
      <c r="D14">
        <f>'raw data'!E17*$P$2</f>
        <v>14714.597316364639</v>
      </c>
      <c r="E14">
        <f>'raw data'!F17*$P$2</f>
        <v>15155.994585301263</v>
      </c>
      <c r="F14">
        <f>'raw data'!G17*$P$2</f>
        <v>14714.597316364639</v>
      </c>
      <c r="G14">
        <f>'raw data'!H17*$P$2</f>
        <v>15148.993656502575</v>
      </c>
      <c r="H14">
        <f>'raw data'!I17*$Q$2</f>
        <v>14614.983369695279</v>
      </c>
      <c r="I14">
        <f>'raw data'!J17*$Q$2</f>
        <v>15015.303010318583</v>
      </c>
      <c r="J14">
        <f>'raw data'!K17*$R$2</f>
        <v>14614.141</v>
      </c>
      <c r="K14">
        <f>'raw data'!L17*$R$2</f>
        <v>14997.837108045062</v>
      </c>
      <c r="L14">
        <f>'raw data'!M17*$R$2</f>
        <v>14614.141</v>
      </c>
      <c r="M14">
        <f>'raw data'!N17*$R$2</f>
        <v>14977.19895</v>
      </c>
    </row>
    <row r="15" spans="1:18" x14ac:dyDescent="0.25">
      <c r="A15" s="10">
        <v>37712</v>
      </c>
      <c r="B15">
        <f>'raw data'!C18*$P$2</f>
        <v>14851.115427939052</v>
      </c>
      <c r="C15">
        <f>'raw data'!D18*$P$2</f>
        <v>15214.824970851529</v>
      </c>
      <c r="D15">
        <f>'raw data'!E18*$P$2</f>
        <v>14851.115427939052</v>
      </c>
      <c r="E15">
        <f>'raw data'!F18*$P$2</f>
        <v>15261.347271900871</v>
      </c>
      <c r="F15">
        <f>'raw data'!G18*$P$2</f>
        <v>14851.115427939052</v>
      </c>
      <c r="G15">
        <f>'raw data'!H18*$P$2</f>
        <v>15251.975060767145</v>
      </c>
      <c r="H15">
        <f>'raw data'!I18*$Q$2</f>
        <v>14745.550386763751</v>
      </c>
      <c r="I15">
        <f>'raw data'!J18*$Q$2</f>
        <v>15108.911622400507</v>
      </c>
      <c r="J15">
        <f>'raw data'!K18*$R$2</f>
        <v>14743.566999999999</v>
      </c>
      <c r="K15">
        <f>'raw data'!L18*$R$2</f>
        <v>15090.807386325983</v>
      </c>
      <c r="L15">
        <f>'raw data'!M18*$R$2</f>
        <v>14743.566999999999</v>
      </c>
      <c r="M15">
        <f>'raw data'!N18*$R$2</f>
        <v>15069.0265</v>
      </c>
    </row>
    <row r="16" spans="1:18" x14ac:dyDescent="0.25">
      <c r="A16" s="10">
        <v>37803</v>
      </c>
      <c r="B16">
        <f>'raw data'!C19*$P$2</f>
        <v>15099.874236705331</v>
      </c>
      <c r="C16">
        <f>'raw data'!D19*$P$2</f>
        <v>15322.548939786177</v>
      </c>
      <c r="D16">
        <f>'raw data'!E19*$P$2</f>
        <v>15099.874236705331</v>
      </c>
      <c r="E16">
        <f>'raw data'!F19*$P$2</f>
        <v>15363.651166926858</v>
      </c>
      <c r="F16">
        <f>'raw data'!G19*$P$2</f>
        <v>15099.874236705331</v>
      </c>
      <c r="G16">
        <f>'raw data'!H19*$P$2</f>
        <v>15351.343082425941</v>
      </c>
      <c r="H16">
        <f>'raw data'!I19*$Q$2</f>
        <v>14991.343416109075</v>
      </c>
      <c r="I16">
        <f>'raw data'!J19*$Q$2</f>
        <v>15202.541257005705</v>
      </c>
      <c r="J16">
        <f>'raw data'!K19*$R$2</f>
        <v>14988.781999999999</v>
      </c>
      <c r="K16">
        <f>'raw data'!L19*$R$2</f>
        <v>15183.877363796682</v>
      </c>
      <c r="L16">
        <f>'raw data'!M19*$R$2</f>
        <v>14988.781999999999</v>
      </c>
      <c r="M16">
        <f>'raw data'!N19*$R$2</f>
        <v>15161.01304</v>
      </c>
    </row>
    <row r="17" spans="1:13" x14ac:dyDescent="0.25">
      <c r="A17" s="10">
        <v>37895</v>
      </c>
      <c r="B17">
        <f>'raw data'!C20*$P$2</f>
        <v>15276.365393356124</v>
      </c>
      <c r="C17">
        <f>'raw data'!D20*$P$2</f>
        <v>15426.659526115049</v>
      </c>
      <c r="D17">
        <f>'raw data'!E20*$P$2</f>
        <v>15276.365393356124</v>
      </c>
      <c r="E17">
        <f>'raw data'!F20*$P$2</f>
        <v>15462.906270379222</v>
      </c>
      <c r="F17">
        <f>'raw data'!G20*$P$2</f>
        <v>15276.365393356124</v>
      </c>
      <c r="G17">
        <f>'raw data'!H20*$P$2</f>
        <v>15447.323557891821</v>
      </c>
      <c r="H17">
        <f>'raw data'!I20*$Q$2</f>
        <v>15164.350374315196</v>
      </c>
      <c r="I17">
        <f>'raw data'!J20*$Q$2</f>
        <v>15297.325152780673</v>
      </c>
      <c r="J17">
        <f>'raw data'!K20*$R$2</f>
        <v>15162.76</v>
      </c>
      <c r="K17">
        <f>'raw data'!L20*$R$2</f>
        <v>15278.388684793345</v>
      </c>
      <c r="L17">
        <f>'raw data'!M20*$R$2</f>
        <v>15162.76</v>
      </c>
      <c r="M17">
        <f>'raw data'!N20*$R$2</f>
        <v>15254.334419999999</v>
      </c>
    </row>
    <row r="18" spans="1:13" x14ac:dyDescent="0.25">
      <c r="A18" s="10">
        <v>37987</v>
      </c>
      <c r="B18">
        <f>'raw data'!C21*$P$2</f>
        <v>15364.215757959011</v>
      </c>
      <c r="C18">
        <f>'raw data'!D21*$P$2</f>
        <v>15525.462956741691</v>
      </c>
      <c r="D18">
        <f>'raw data'!E21*$P$2</f>
        <v>15364.215757959011</v>
      </c>
      <c r="E18">
        <f>'raw data'!F21*$P$2</f>
        <v>15558.547991225814</v>
      </c>
      <c r="F18">
        <f>'raw data'!G21*$P$2</f>
        <v>15364.215757959011</v>
      </c>
      <c r="G18">
        <f>'raw data'!H21*$P$2</f>
        <v>15539.126059719776</v>
      </c>
      <c r="H18">
        <f>'raw data'!I21*$Q$2</f>
        <v>15251.229437615029</v>
      </c>
      <c r="I18">
        <f>'raw data'!J21*$Q$2</f>
        <v>15394.092571795791</v>
      </c>
      <c r="J18">
        <f>'raw data'!K21*$R$2</f>
        <v>15248.68</v>
      </c>
      <c r="K18">
        <f>'raw data'!L21*$R$2</f>
        <v>15374.838882758811</v>
      </c>
      <c r="L18">
        <f>'raw data'!M21*$R$2</f>
        <v>15248.68</v>
      </c>
      <c r="M18">
        <f>'raw data'!N21*$R$2</f>
        <v>15349.3686</v>
      </c>
    </row>
    <row r="19" spans="1:13" x14ac:dyDescent="0.25">
      <c r="A19" s="10">
        <v>38078</v>
      </c>
      <c r="B19">
        <f>'raw data'!C22*$P$2</f>
        <v>15476.795209770169</v>
      </c>
      <c r="C19">
        <f>'raw data'!D22*$P$2</f>
        <v>15620.765922968991</v>
      </c>
      <c r="D19">
        <f>'raw data'!E22*$P$2</f>
        <v>15476.795209770169</v>
      </c>
      <c r="E19">
        <f>'raw data'!F22*$P$2</f>
        <v>15651.366756911642</v>
      </c>
      <c r="F19">
        <f>'raw data'!G22*$P$2</f>
        <v>15476.795209770169</v>
      </c>
      <c r="G19">
        <f>'raw data'!H22*$P$2</f>
        <v>15627.089342529094</v>
      </c>
      <c r="H19">
        <f>'raw data'!I22*$Q$2</f>
        <v>15369.996672318597</v>
      </c>
      <c r="I19">
        <f>'raw data'!J22*$Q$2</f>
        <v>15492.276901755011</v>
      </c>
      <c r="J19">
        <f>'raw data'!K22*$R$2</f>
        <v>15366.85</v>
      </c>
      <c r="K19">
        <f>'raw data'!L22*$R$2</f>
        <v>15472.994124038232</v>
      </c>
      <c r="L19">
        <f>'raw data'!M22*$R$2</f>
        <v>15366.85</v>
      </c>
      <c r="M19">
        <f>'raw data'!N22*$R$2</f>
        <v>15445.75949</v>
      </c>
    </row>
    <row r="20" spans="1:13" x14ac:dyDescent="0.25">
      <c r="A20" s="10">
        <v>38169</v>
      </c>
      <c r="B20">
        <f>'raw data'!C23*$P$2</f>
        <v>15617.491294982507</v>
      </c>
      <c r="C20">
        <f>'raw data'!D23*$P$2</f>
        <v>15713.810525067682</v>
      </c>
      <c r="D20">
        <f>'raw data'!E23*$P$2</f>
        <v>15617.491294982507</v>
      </c>
      <c r="E20">
        <f>'raw data'!F23*$P$2</f>
        <v>15743.056340533167</v>
      </c>
      <c r="F20">
        <f>'raw data'!G23*$P$2</f>
        <v>15617.491294982507</v>
      </c>
      <c r="G20">
        <f>'raw data'!H23*$P$2</f>
        <v>15713.245934035529</v>
      </c>
      <c r="H20">
        <f>'raw data'!I23*$Q$2</f>
        <v>15514.666339427045</v>
      </c>
      <c r="I20">
        <f>'raw data'!J23*$Q$2</f>
        <v>15592.814845891067</v>
      </c>
      <c r="J20">
        <f>'raw data'!K23*$R$2</f>
        <v>15512.619000000001</v>
      </c>
      <c r="K20">
        <f>'raw data'!L23*$R$2</f>
        <v>15573.526926169097</v>
      </c>
      <c r="L20">
        <f>'raw data'!M23*$R$2</f>
        <v>15512.619000000001</v>
      </c>
      <c r="M20">
        <f>'raw data'!N23*$R$2</f>
        <v>15544.095600000001</v>
      </c>
    </row>
    <row r="21" spans="1:13" x14ac:dyDescent="0.25">
      <c r="A21" s="10">
        <v>38261</v>
      </c>
      <c r="B21">
        <f>'raw data'!C24*$P$2</f>
        <v>15752.541469873324</v>
      </c>
      <c r="C21">
        <f>'raw data'!D24*$P$2</f>
        <v>15805.725945102065</v>
      </c>
      <c r="D21">
        <f>'raw data'!E24*$P$2</f>
        <v>15752.541469873324</v>
      </c>
      <c r="E21">
        <f>'raw data'!F24*$P$2</f>
        <v>15834.52008774183</v>
      </c>
      <c r="F21">
        <f>'raw data'!G24*$P$2</f>
        <v>15752.541469873324</v>
      </c>
      <c r="G21">
        <f>'raw data'!H24*$P$2</f>
        <v>15798.273343477656</v>
      </c>
      <c r="H21">
        <f>'raw data'!I24*$Q$2</f>
        <v>15673.230475620683</v>
      </c>
      <c r="I21">
        <f>'raw data'!J24*$Q$2</f>
        <v>15694.633464891811</v>
      </c>
      <c r="J21">
        <f>'raw data'!K24*$R$2</f>
        <v>15670.88</v>
      </c>
      <c r="K21">
        <f>'raw data'!L24*$R$2</f>
        <v>15675.558624075442</v>
      </c>
      <c r="L21">
        <f>'raw data'!M24*$R$2</f>
        <v>15670.88</v>
      </c>
      <c r="M21">
        <f>'raw data'!N24*$R$2</f>
        <v>15643.399439999999</v>
      </c>
    </row>
    <row r="22" spans="1:13" x14ac:dyDescent="0.25">
      <c r="A22" s="10">
        <v>38353</v>
      </c>
      <c r="B22">
        <f>'raw data'!C25*$P$2</f>
        <v>15920.450842835402</v>
      </c>
      <c r="C22">
        <f>'raw data'!D25*$P$2</f>
        <v>15898.883465407185</v>
      </c>
      <c r="D22">
        <f>'raw data'!E25*$P$2</f>
        <v>15920.450842835402</v>
      </c>
      <c r="E22">
        <f>'raw data'!F25*$P$2</f>
        <v>15928.129280872672</v>
      </c>
      <c r="F22">
        <f>'raw data'!G25*$P$2</f>
        <v>15920.450842835402</v>
      </c>
      <c r="G22">
        <f>'raw data'!H25*$P$2</f>
        <v>15884.542853190518</v>
      </c>
      <c r="H22">
        <f>'raw data'!I25*$Q$2</f>
        <v>15847.341651365317</v>
      </c>
      <c r="I22">
        <f>'raw data'!J25*$Q$2</f>
        <v>15794.825491462914</v>
      </c>
      <c r="J22">
        <f>'raw data'!K25*$R$2</f>
        <v>15844.727000000001</v>
      </c>
      <c r="K22">
        <f>'raw data'!L25*$R$2</f>
        <v>15775.796136923085</v>
      </c>
      <c r="L22">
        <f>'raw data'!M25*$R$2</f>
        <v>15844.727000000001</v>
      </c>
      <c r="M22">
        <f>'raw data'!N25*$R$2</f>
        <v>15740.362080000001</v>
      </c>
    </row>
    <row r="23" spans="1:13" x14ac:dyDescent="0.25">
      <c r="A23" s="10">
        <v>38443</v>
      </c>
      <c r="B23">
        <f>'raw data'!C26*$P$2</f>
        <v>16003.558642768212</v>
      </c>
      <c r="C23">
        <f>'raw data'!D26*$P$2</f>
        <v>15991.702231093015</v>
      </c>
      <c r="D23">
        <f>'raw data'!E26*$P$2</f>
        <v>16003.558642768212</v>
      </c>
      <c r="E23">
        <f>'raw data'!F26*$P$2</f>
        <v>16023.883919925694</v>
      </c>
      <c r="F23">
        <f>'raw data'!G26*$P$2</f>
        <v>16003.558642768212</v>
      </c>
      <c r="G23">
        <f>'raw data'!H26*$P$2</f>
        <v>15971.715708554826</v>
      </c>
      <c r="H23">
        <f>'raw data'!I26*$Q$2</f>
        <v>15924.455525549052</v>
      </c>
      <c r="I23">
        <f>'raw data'!J26*$Q$2</f>
        <v>15892.540908290632</v>
      </c>
      <c r="J23">
        <f>'raw data'!K26*$R$2</f>
        <v>15922.781999999999</v>
      </c>
      <c r="K23">
        <f>'raw data'!L26*$R$2</f>
        <v>15873.169983958669</v>
      </c>
      <c r="L23">
        <f>'raw data'!M26*$R$2</f>
        <v>15922.781999999999</v>
      </c>
      <c r="M23">
        <f>'raw data'!N26*$R$2</f>
        <v>15833.986349999999</v>
      </c>
    </row>
    <row r="24" spans="1:13" x14ac:dyDescent="0.25">
      <c r="A24" s="10">
        <v>38534</v>
      </c>
      <c r="B24">
        <f>'raw data'!C27*$P$2</f>
        <v>16138.044226626876</v>
      </c>
      <c r="C24">
        <f>'raw data'!D27*$P$2</f>
        <v>16084.746833191704</v>
      </c>
      <c r="D24">
        <f>'raw data'!E27*$P$2</f>
        <v>16138.044226626876</v>
      </c>
      <c r="E24">
        <f>'raw data'!F27*$P$2</f>
        <v>16120.541904630156</v>
      </c>
      <c r="F24">
        <f>'raw data'!G27*$P$2</f>
        <v>16138.044226626876</v>
      </c>
      <c r="G24">
        <f>'raw data'!H27*$P$2</f>
        <v>16059.453154951285</v>
      </c>
      <c r="H24">
        <f>'raw data'!I27*$Q$2</f>
        <v>16049.561548396443</v>
      </c>
      <c r="I24">
        <f>'raw data'!J27*$Q$2</f>
        <v>15988.903275969162</v>
      </c>
      <c r="J24">
        <f>'raw data'!K27*$R$2</f>
        <v>16047.587</v>
      </c>
      <c r="K24">
        <f>'raw data'!L27*$R$2</f>
        <v>15968.843339929685</v>
      </c>
      <c r="L24">
        <f>'raw data'!M27*$R$2</f>
        <v>16047.587</v>
      </c>
      <c r="M24">
        <f>'raw data'!N27*$R$2</f>
        <v>15925.483969999999</v>
      </c>
    </row>
    <row r="25" spans="1:13" x14ac:dyDescent="0.25">
      <c r="A25" s="10">
        <v>38626</v>
      </c>
      <c r="B25">
        <f>'raw data'!C28*$P$2</f>
        <v>16230.185483074123</v>
      </c>
      <c r="C25">
        <f>'raw data'!D28*$P$2</f>
        <v>16178.356026322546</v>
      </c>
      <c r="D25">
        <f>'raw data'!E28*$P$2</f>
        <v>16230.185483074123</v>
      </c>
      <c r="E25">
        <f>'raw data'!F28*$P$2</f>
        <v>16218.329071398924</v>
      </c>
      <c r="F25">
        <f>'raw data'!G28*$P$2</f>
        <v>16230.185483074123</v>
      </c>
      <c r="G25">
        <f>'raw data'!H28*$P$2</f>
        <v>16147.755192379895</v>
      </c>
      <c r="H25">
        <f>'raw data'!I28*$Q$2</f>
        <v>16140.711540562439</v>
      </c>
      <c r="I25">
        <f>'raw data'!J28*$Q$2</f>
        <v>16083.303761974441</v>
      </c>
      <c r="J25">
        <f>'raw data'!K28*$R$2</f>
        <v>16136.734</v>
      </c>
      <c r="K25">
        <f>'raw data'!L28*$R$2</f>
        <v>16062.035941635966</v>
      </c>
      <c r="L25">
        <f>'raw data'!M28*$R$2</f>
        <v>16136.734</v>
      </c>
      <c r="M25">
        <f>'raw data'!N28*$R$2</f>
        <v>16014.16822</v>
      </c>
    </row>
    <row r="26" spans="1:13" x14ac:dyDescent="0.25">
      <c r="A26" s="10">
        <v>38718</v>
      </c>
      <c r="B26">
        <f>'raw data'!C29*$P$2</f>
        <v>16425.195225579508</v>
      </c>
      <c r="C26">
        <f>'raw data'!D29*$P$2</f>
        <v>16273.433156136985</v>
      </c>
      <c r="D26">
        <f>'raw data'!E29*$P$2</f>
        <v>16425.195225579508</v>
      </c>
      <c r="E26">
        <f>'raw data'!F29*$P$2</f>
        <v>16317.810011264151</v>
      </c>
      <c r="F26">
        <f>'raw data'!G29*$P$2</f>
        <v>16425.195225579508</v>
      </c>
      <c r="G26">
        <f>'raw data'!H29*$P$2</f>
        <v>16237.976839317822</v>
      </c>
      <c r="H26">
        <f>'raw data'!I29*$Q$2</f>
        <v>16358.395848621269</v>
      </c>
      <c r="I26">
        <f>'raw data'!J29*$Q$2</f>
        <v>16175.515122116929</v>
      </c>
      <c r="J26">
        <f>'raw data'!K29*$R$2</f>
        <v>16353.834999999999</v>
      </c>
      <c r="K26">
        <f>'raw data'!L29*$R$2</f>
        <v>16152.594087556377</v>
      </c>
      <c r="L26">
        <f>'raw data'!M29*$R$2</f>
        <v>16353.834999999999</v>
      </c>
      <c r="M26">
        <f>'raw data'!N29*$R$2</f>
        <v>16099.610210000001</v>
      </c>
    </row>
    <row r="27" spans="1:13" x14ac:dyDescent="0.25">
      <c r="A27" s="10">
        <v>38808</v>
      </c>
      <c r="B27">
        <f>'raw data'!C30*$P$2</f>
        <v>16474.314645376755</v>
      </c>
      <c r="C27">
        <f>'raw data'!D30*$P$2</f>
        <v>16369.865304428587</v>
      </c>
      <c r="D27">
        <f>'raw data'!E30*$P$2</f>
        <v>16474.314645376755</v>
      </c>
      <c r="E27">
        <f>'raw data'!F30*$P$2</f>
        <v>16418.871806019404</v>
      </c>
      <c r="F27">
        <f>'raw data'!G30*$P$2</f>
        <v>16474.314645376755</v>
      </c>
      <c r="G27">
        <f>'raw data'!H30*$P$2</f>
        <v>16329.666422939348</v>
      </c>
      <c r="H27">
        <f>'raw data'!I30*$Q$2</f>
        <v>16398.569407405819</v>
      </c>
      <c r="I27">
        <f>'raw data'!J30*$Q$2</f>
        <v>16266.040462307184</v>
      </c>
      <c r="J27">
        <f>'raw data'!K30*$R$2</f>
        <v>16396.151000000002</v>
      </c>
      <c r="K27">
        <f>'raw data'!L30*$R$2</f>
        <v>16240.797141806725</v>
      </c>
      <c r="L27">
        <f>'raw data'!M30*$R$2</f>
        <v>16396.151000000002</v>
      </c>
      <c r="M27">
        <f>'raw data'!N30*$R$2</f>
        <v>16182.644200000001</v>
      </c>
    </row>
    <row r="28" spans="1:13" x14ac:dyDescent="0.25">
      <c r="A28" s="10">
        <v>38899</v>
      </c>
      <c r="B28">
        <f>'raw data'!C31*$P$2</f>
        <v>16488.994012212712</v>
      </c>
      <c r="C28">
        <f>'raw data'!D31*$P$2</f>
        <v>16467.087880165203</v>
      </c>
      <c r="D28">
        <f>'raw data'!E31*$P$2</f>
        <v>16488.994012212712</v>
      </c>
      <c r="E28">
        <f>'raw data'!F31*$P$2</f>
        <v>16519.820682568225</v>
      </c>
      <c r="F28">
        <f>'raw data'!G31*$P$2</f>
        <v>16488.994012212712</v>
      </c>
      <c r="G28">
        <f>'raw data'!H31*$P$2</f>
        <v>16421.356006560873</v>
      </c>
      <c r="H28">
        <f>'raw data'!I31*$Q$2</f>
        <v>16423.24206984069</v>
      </c>
      <c r="I28">
        <f>'raw data'!J31*$Q$2</f>
        <v>16353.046820951335</v>
      </c>
      <c r="J28">
        <f>'raw data'!K31*$R$2</f>
        <v>16420.738000000001</v>
      </c>
      <c r="K28">
        <f>'raw data'!L31*$R$2</f>
        <v>16324.825212317573</v>
      </c>
      <c r="L28">
        <f>'raw data'!M31*$R$2</f>
        <v>16420.738000000001</v>
      </c>
      <c r="M28">
        <f>'raw data'!N31*$R$2</f>
        <v>16261.615949999999</v>
      </c>
    </row>
    <row r="29" spans="1:13" x14ac:dyDescent="0.25">
      <c r="A29" s="10">
        <v>38991</v>
      </c>
      <c r="B29">
        <f>'raw data'!C32*$P$2</f>
        <v>16618.059522162715</v>
      </c>
      <c r="C29">
        <f>'raw data'!D32*$P$2</f>
        <v>16564.875046933972</v>
      </c>
      <c r="D29">
        <f>'raw data'!E32*$P$2</f>
        <v>16618.059522162715</v>
      </c>
      <c r="E29">
        <f>'raw data'!F32*$P$2</f>
        <v>16619.979131672033</v>
      </c>
      <c r="F29">
        <f>'raw data'!G32*$P$2</f>
        <v>16618.059522162715</v>
      </c>
      <c r="G29">
        <f>'raw data'!H32*$P$2</f>
        <v>16512.593917356677</v>
      </c>
      <c r="H29">
        <f>'raw data'!I32*$Q$2</f>
        <v>16561.806884105019</v>
      </c>
      <c r="I29">
        <f>'raw data'!J32*$Q$2</f>
        <v>16436.545496345403</v>
      </c>
      <c r="J29">
        <f>'raw data'!K32*$R$2</f>
        <v>16561.866000000002</v>
      </c>
      <c r="K29">
        <f>'raw data'!L32*$R$2</f>
        <v>16404.43190398646</v>
      </c>
      <c r="L29">
        <f>'raw data'!M32*$R$2</f>
        <v>16561.866000000002</v>
      </c>
      <c r="M29">
        <f>'raw data'!N32*$R$2</f>
        <v>16336.383180000001</v>
      </c>
    </row>
    <row r="30" spans="1:13" x14ac:dyDescent="0.25">
      <c r="A30" s="10">
        <v>39083</v>
      </c>
      <c r="B30">
        <f>'raw data'!C33*$P$2</f>
        <v>16628.335078947886</v>
      </c>
      <c r="C30">
        <f>'raw data'!D33*$P$2</f>
        <v>16663.339722941324</v>
      </c>
      <c r="D30">
        <f>'raw data'!E33*$P$2</f>
        <v>16628.335078947886</v>
      </c>
      <c r="E30">
        <f>'raw data'!F33*$P$2</f>
        <v>16717.653380234369</v>
      </c>
      <c r="F30">
        <f>'raw data'!G33*$P$2</f>
        <v>16628.335078947886</v>
      </c>
      <c r="G30">
        <f>'raw data'!H33*$P$2</f>
        <v>16602.250973262449</v>
      </c>
      <c r="H30">
        <f>'raw data'!I33*$Q$2</f>
        <v>16610.432160414668</v>
      </c>
      <c r="I30">
        <f>'raw data'!J33*$Q$2</f>
        <v>16519.900554745713</v>
      </c>
      <c r="J30">
        <f>'raw data'!K33*$R$2</f>
        <v>16611.689999999999</v>
      </c>
      <c r="K30">
        <f>'raw data'!L33*$R$2</f>
        <v>16484.888028846122</v>
      </c>
      <c r="L30">
        <f>'raw data'!M33*$R$2</f>
        <v>16611.689999999999</v>
      </c>
      <c r="M30">
        <f>'raw data'!N33*$R$2</f>
        <v>16413.084159999999</v>
      </c>
    </row>
    <row r="31" spans="1:13" x14ac:dyDescent="0.25">
      <c r="A31" s="10">
        <v>39173</v>
      </c>
      <c r="B31">
        <f>'raw data'!C34*$P$2</f>
        <v>16755.593897595001</v>
      </c>
      <c r="C31">
        <f>'raw data'!D34*$P$2</f>
        <v>16764.175681283716</v>
      </c>
      <c r="D31">
        <f>'raw data'!E34*$P$2</f>
        <v>16755.593897595001</v>
      </c>
      <c r="E31">
        <f>'raw data'!F34*$P$2</f>
        <v>16813.069264668098</v>
      </c>
      <c r="F31">
        <f>'raw data'!G34*$P$2</f>
        <v>16755.593897595001</v>
      </c>
      <c r="G31">
        <f>'raw data'!H34*$P$2</f>
        <v>16690.778847103924</v>
      </c>
      <c r="H31">
        <f>'raw data'!I34*$Q$2</f>
        <v>16716.478894922384</v>
      </c>
      <c r="I31">
        <f>'raw data'!J34*$Q$2</f>
        <v>16603.796283721178</v>
      </c>
      <c r="J31">
        <f>'raw data'!K34*$R$2</f>
        <v>16713.313999999998</v>
      </c>
      <c r="K31">
        <f>'raw data'!L34*$R$2</f>
        <v>16566.649925173915</v>
      </c>
      <c r="L31">
        <f>'raw data'!M34*$R$2</f>
        <v>16713.313999999998</v>
      </c>
      <c r="M31">
        <f>'raw data'!N34*$R$2</f>
        <v>16492.813129999999</v>
      </c>
    </row>
    <row r="32" spans="1:13" x14ac:dyDescent="0.25">
      <c r="A32" s="10">
        <v>39264</v>
      </c>
      <c r="B32">
        <f>'raw data'!C35*$P$2</f>
        <v>16868.286267612588</v>
      </c>
      <c r="C32">
        <f>'raw data'!D35*$P$2</f>
        <v>16864.334130387524</v>
      </c>
      <c r="D32">
        <f>'raw data'!E35*$P$2</f>
        <v>16868.286267612588</v>
      </c>
      <c r="E32">
        <f>'raw data'!F35*$P$2</f>
        <v>16906.452621386081</v>
      </c>
      <c r="F32">
        <f>'raw data'!G35*$P$2</f>
        <v>16868.286267612588</v>
      </c>
      <c r="G32">
        <f>'raw data'!H35*$P$2</f>
        <v>16777.725866055367</v>
      </c>
      <c r="H32">
        <f>'raw data'!I35*$Q$2</f>
        <v>16817.16336019789</v>
      </c>
      <c r="I32">
        <f>'raw data'!J35*$Q$2</f>
        <v>16688.477964453108</v>
      </c>
      <c r="J32">
        <f>'raw data'!K35*$R$2</f>
        <v>16809.587</v>
      </c>
      <c r="K32">
        <f>'raw data'!L35*$R$2</f>
        <v>16649.553222510956</v>
      </c>
      <c r="L32">
        <f>'raw data'!M35*$R$2</f>
        <v>16809.587</v>
      </c>
      <c r="M32">
        <f>'raw data'!N35*$R$2</f>
        <v>16575.361219999999</v>
      </c>
    </row>
    <row r="33" spans="1:13" x14ac:dyDescent="0.25">
      <c r="A33" s="10">
        <v>39356</v>
      </c>
      <c r="B33">
        <f>'raw data'!C36*$P$2</f>
        <v>16928.471671640018</v>
      </c>
      <c r="C33">
        <f>'raw data'!D36*$P$2</f>
        <v>16962.911724601305</v>
      </c>
      <c r="D33">
        <f>'raw data'!E36*$P$2</f>
        <v>16928.471671640018</v>
      </c>
      <c r="E33">
        <f>'raw data'!F36*$P$2</f>
        <v>16997.46469576902</v>
      </c>
      <c r="F33">
        <f>'raw data'!G36*$P$2</f>
        <v>16928.471671640018</v>
      </c>
      <c r="G33">
        <f>'raw data'!H36*$P$2</f>
        <v>16862.527439084635</v>
      </c>
      <c r="H33">
        <f>'raw data'!I36*$Q$2</f>
        <v>16919.688188037584</v>
      </c>
      <c r="I33">
        <f>'raw data'!J36*$Q$2</f>
        <v>16772.693536658513</v>
      </c>
      <c r="J33">
        <f>'raw data'!K36*$R$2</f>
        <v>16915.190999999999</v>
      </c>
      <c r="K33">
        <f>'raw data'!L36*$R$2</f>
        <v>16732.836359592024</v>
      </c>
      <c r="L33">
        <f>'raw data'!M36*$R$2</f>
        <v>16915.190999999999</v>
      </c>
      <c r="M33">
        <f>'raw data'!N36*$R$2</f>
        <v>16658.261600000002</v>
      </c>
    </row>
    <row r="34" spans="1:13" x14ac:dyDescent="0.25">
      <c r="A34" s="10">
        <v>39448</v>
      </c>
      <c r="B34">
        <f>'raw data'!C37*$P$2</f>
        <v>16812.956346461669</v>
      </c>
      <c r="C34">
        <f>'raw data'!D37*$P$2</f>
        <v>17058.553445447895</v>
      </c>
      <c r="D34">
        <f>'raw data'!E37*$P$2</f>
        <v>16812.956346461669</v>
      </c>
      <c r="E34">
        <f>'raw data'!F37*$P$2</f>
        <v>17085.202142165483</v>
      </c>
      <c r="F34">
        <f>'raw data'!G37*$P$2</f>
        <v>16812.956346461669</v>
      </c>
      <c r="G34">
        <f>'raw data'!H37*$P$2</f>
        <v>16943.941465920991</v>
      </c>
      <c r="H34">
        <f>'raw data'!I37*$Q$2</f>
        <v>16850.752391464157</v>
      </c>
      <c r="I34">
        <f>'raw data'!J37*$Q$2</f>
        <v>16856.107616903202</v>
      </c>
      <c r="J34">
        <f>'raw data'!K37*$R$2</f>
        <v>16843.003000000001</v>
      </c>
      <c r="K34">
        <f>'raw data'!L37*$R$2</f>
        <v>16815.605755710523</v>
      </c>
      <c r="L34">
        <f>'raw data'!M37*$R$2</f>
        <v>16843.003000000001</v>
      </c>
      <c r="M34">
        <f>'raw data'!N37*$R$2</f>
        <v>16741.835510000001</v>
      </c>
    </row>
    <row r="35" spans="1:13" x14ac:dyDescent="0.25">
      <c r="A35" s="10">
        <v>39539</v>
      </c>
      <c r="B35">
        <f>'raw data'!C38*$P$2</f>
        <v>16896.402901013771</v>
      </c>
      <c r="C35">
        <f>'raw data'!D38*$P$2</f>
        <v>17150.807620101572</v>
      </c>
      <c r="D35">
        <f>'raw data'!E38*$P$2</f>
        <v>16896.402901013771</v>
      </c>
      <c r="E35">
        <f>'raw data'!F38*$P$2</f>
        <v>17173.391261387664</v>
      </c>
      <c r="F35">
        <f>'raw data'!G38*$P$2</f>
        <v>16896.402901013771</v>
      </c>
      <c r="G35">
        <f>'raw data'!H38*$P$2</f>
        <v>17024.56506531233</v>
      </c>
      <c r="H35">
        <f>'raw data'!I38*$Q$2</f>
        <v>16947.188462925304</v>
      </c>
      <c r="I35">
        <f>'raw data'!J38*$Q$2</f>
        <v>16936.642186135214</v>
      </c>
      <c r="J35">
        <f>'raw data'!K38*$R$2</f>
        <v>16943.291000000001</v>
      </c>
      <c r="K35">
        <f>'raw data'!L38*$R$2</f>
        <v>16895.89498163922</v>
      </c>
      <c r="L35">
        <f>'raw data'!M38*$R$2</f>
        <v>16943.291000000001</v>
      </c>
      <c r="M35">
        <f>'raw data'!N38*$R$2</f>
        <v>16824.008460000001</v>
      </c>
    </row>
    <row r="36" spans="1:13" x14ac:dyDescent="0.25">
      <c r="A36" s="10">
        <v>39630</v>
      </c>
      <c r="B36">
        <f>'raw data'!C39*$P$2</f>
        <v>16815.327628796709</v>
      </c>
      <c r="C36">
        <f>'raw data'!D39*$P$2</f>
        <v>17239.109657530182</v>
      </c>
      <c r="D36">
        <f>'raw data'!E39*$P$2</f>
        <v>16815.327628796709</v>
      </c>
      <c r="E36">
        <f>'raw data'!F39*$P$2</f>
        <v>17258.305752623357</v>
      </c>
      <c r="F36">
        <f>'raw data'!G39*$P$2</f>
        <v>16815.327628796709</v>
      </c>
      <c r="G36">
        <f>'raw data'!H39*$P$2</f>
        <v>17101.801118510757</v>
      </c>
      <c r="H36">
        <f>'raw data'!I39*$Q$2</f>
        <v>16857.894929789072</v>
      </c>
      <c r="I36">
        <f>'raw data'!J39*$Q$2</f>
        <v>17013.405194692965</v>
      </c>
      <c r="J36">
        <f>'raw data'!K39*$R$2</f>
        <v>16854.294999999998</v>
      </c>
      <c r="K36">
        <f>'raw data'!L39*$R$2</f>
        <v>16973.238277426874</v>
      </c>
      <c r="L36">
        <f>'raw data'!M39*$R$2</f>
        <v>16854.294999999998</v>
      </c>
      <c r="M36">
        <f>'raw data'!N39*$R$2</f>
        <v>16903.751319999999</v>
      </c>
    </row>
    <row r="37" spans="1:13" x14ac:dyDescent="0.25">
      <c r="A37" s="10">
        <v>39722</v>
      </c>
      <c r="B37">
        <f>'raw data'!C40*$P$2</f>
        <v>16460.086951366517</v>
      </c>
      <c r="C37">
        <f>'raw data'!D40*$P$2</f>
        <v>17322.556212082283</v>
      </c>
      <c r="D37">
        <f>'raw data'!E40*$P$2</f>
        <v>16460.086951366517</v>
      </c>
      <c r="E37">
        <f>'raw data'!F40*$P$2</f>
        <v>17339.155188427561</v>
      </c>
      <c r="F37">
        <f>'raw data'!G40*$P$2</f>
        <v>16460.086951366517</v>
      </c>
      <c r="G37">
        <f>'raw data'!H40*$P$2</f>
        <v>17174.746279864827</v>
      </c>
      <c r="H37">
        <f>'raw data'!I40*$Q$2</f>
        <v>16489.870706348229</v>
      </c>
      <c r="I37">
        <f>'raw data'!J40*$Q$2</f>
        <v>17085.482912791249</v>
      </c>
      <c r="J37">
        <f>'raw data'!K40*$R$2</f>
        <v>16485.349999999999</v>
      </c>
      <c r="K37">
        <f>'raw data'!L40*$R$2</f>
        <v>17046.576392057719</v>
      </c>
      <c r="L37">
        <f>'raw data'!M40*$R$2</f>
        <v>16485.349999999999</v>
      </c>
      <c r="M37">
        <f>'raw data'!N40*$R$2</f>
        <v>16979.72738</v>
      </c>
    </row>
    <row r="38" spans="1:13" x14ac:dyDescent="0.25">
      <c r="A38" s="10">
        <v>39814</v>
      </c>
      <c r="B38">
        <f>'raw data'!C41*$P$2</f>
        <v>16231.99217437701</v>
      </c>
      <c r="C38">
        <f>'raw data'!D41*$P$2</f>
        <v>17398.776001422837</v>
      </c>
      <c r="D38">
        <f>'raw data'!E41*$P$2</f>
        <v>16231.99217437701</v>
      </c>
      <c r="E38">
        <f>'raw data'!F41*$P$2</f>
        <v>17415.14914135525</v>
      </c>
      <c r="F38">
        <f>'raw data'!G41*$P$2</f>
        <v>16231.99217437701</v>
      </c>
      <c r="G38">
        <f>'raw data'!H41*$P$2</f>
        <v>17242.610121929527</v>
      </c>
      <c r="H38">
        <f>'raw data'!I41*$Q$2</f>
        <v>16297.644568244379</v>
      </c>
      <c r="I38">
        <f>'raw data'!J41*$Q$2</f>
        <v>17151.640964091504</v>
      </c>
      <c r="J38">
        <f>'raw data'!K41*$R$2</f>
        <v>16298.262000000001</v>
      </c>
      <c r="K38">
        <f>'raw data'!L41*$R$2</f>
        <v>17114.500177987458</v>
      </c>
      <c r="L38">
        <f>'raw data'!M41*$R$2</f>
        <v>16298.262000000001</v>
      </c>
      <c r="M38">
        <f>'raw data'!N41*$R$2</f>
        <v>17050.233619999999</v>
      </c>
    </row>
    <row r="39" spans="1:13" x14ac:dyDescent="0.25">
      <c r="A39" s="10">
        <v>39904</v>
      </c>
      <c r="B39">
        <f>'raw data'!C42*$P$2</f>
        <v>16210.086042329503</v>
      </c>
      <c r="C39">
        <f>'raw data'!D42*$P$2</f>
        <v>17467.091516313256</v>
      </c>
      <c r="D39">
        <f>'raw data'!E42*$P$2</f>
        <v>16210.086042329503</v>
      </c>
      <c r="E39">
        <f>'raw data'!F42*$P$2</f>
        <v>17479.625437227038</v>
      </c>
      <c r="F39">
        <f>'raw data'!G42*$P$2</f>
        <v>16210.086042329503</v>
      </c>
      <c r="G39">
        <f>'raw data'!H42*$P$2</f>
        <v>17300.988834654068</v>
      </c>
      <c r="H39">
        <f>'raw data'!I42*$Q$2</f>
        <v>16270.062737931074</v>
      </c>
      <c r="I39">
        <f>'raw data'!J42*$Q$2</f>
        <v>17213.241195588129</v>
      </c>
      <c r="J39">
        <f>'raw data'!K42*$R$2</f>
        <v>16269.145</v>
      </c>
      <c r="K39">
        <f>'raw data'!L42*$R$2</f>
        <v>17178.410062824227</v>
      </c>
      <c r="L39">
        <f>'raw data'!M42*$R$2</f>
        <v>16269.145</v>
      </c>
      <c r="M39">
        <f>'raw data'!N42*$R$2</f>
        <v>17116.477719999999</v>
      </c>
    </row>
    <row r="40" spans="1:13" x14ac:dyDescent="0.25">
      <c r="A40" s="10">
        <v>39995</v>
      </c>
      <c r="B40">
        <f>'raw data'!C43*$P$2</f>
        <v>16263.044681145384</v>
      </c>
      <c r="C40">
        <f>'raw data'!D43*$P$2</f>
        <v>17531.003221152892</v>
      </c>
      <c r="D40">
        <f>'raw data'!E43*$P$2</f>
        <v>16263.044681145384</v>
      </c>
      <c r="E40">
        <f>'raw data'!F43*$P$2</f>
        <v>17538.907495603024</v>
      </c>
      <c r="F40">
        <f>'raw data'!G43*$P$2</f>
        <v>16263.044681145384</v>
      </c>
      <c r="G40">
        <f>'raw data'!H43*$P$2</f>
        <v>17354.512064502102</v>
      </c>
      <c r="H40">
        <f>'raw data'!I43*$Q$2</f>
        <v>16328.948974496559</v>
      </c>
      <c r="I40">
        <f>'raw data'!J43*$Q$2</f>
        <v>17271.230351625691</v>
      </c>
      <c r="J40">
        <f>'raw data'!K43*$R$2</f>
        <v>16326.281000000001</v>
      </c>
      <c r="K40">
        <f>'raw data'!L43*$R$2</f>
        <v>17238.915827103265</v>
      </c>
      <c r="L40">
        <f>'raw data'!M43*$R$2</f>
        <v>16326.281000000001</v>
      </c>
      <c r="M40">
        <f>'raw data'!N43*$R$2</f>
        <v>17178.970270000002</v>
      </c>
    </row>
    <row r="41" spans="1:13" x14ac:dyDescent="0.25">
      <c r="A41" s="10">
        <v>40087</v>
      </c>
      <c r="B41">
        <f>'raw data'!C44*$P$2</f>
        <v>16420.452660909428</v>
      </c>
      <c r="C41">
        <f>'raw data'!D44*$P$2</f>
        <v>17591.640298006045</v>
      </c>
      <c r="D41">
        <f>'raw data'!E44*$P$2</f>
        <v>16420.452660909428</v>
      </c>
      <c r="E41">
        <f>'raw data'!F44*$P$2</f>
        <v>17594.011580341084</v>
      </c>
      <c r="F41">
        <f>'raw data'!G44*$P$2</f>
        <v>16420.452660909428</v>
      </c>
      <c r="G41">
        <f>'raw data'!H44*$P$2</f>
        <v>17404.083157125067</v>
      </c>
      <c r="H41">
        <f>'raw data'!I44*$Q$2</f>
        <v>16503.335936351396</v>
      </c>
      <c r="I41">
        <f>'raw data'!J44*$Q$2</f>
        <v>17327.376631833467</v>
      </c>
      <c r="J41">
        <f>'raw data'!K44*$R$2</f>
        <v>16502.754000000001</v>
      </c>
      <c r="K41">
        <f>'raw data'!L44*$R$2</f>
        <v>17297.998502211558</v>
      </c>
      <c r="L41">
        <f>'raw data'!M44*$R$2</f>
        <v>16502.754000000001</v>
      </c>
      <c r="M41">
        <f>'raw data'!N44*$R$2</f>
        <v>17239.531319999998</v>
      </c>
    </row>
    <row r="42" spans="1:13" x14ac:dyDescent="0.25">
      <c r="A42" s="10">
        <v>40179</v>
      </c>
      <c r="B42">
        <f>'raw data'!C45*$P$2</f>
        <v>16491.47821275418</v>
      </c>
      <c r="C42">
        <f>'raw data'!D45*$P$2</f>
        <v>17649.906092524157</v>
      </c>
      <c r="D42">
        <f>'raw data'!E45*$P$2</f>
        <v>16491.47821275418</v>
      </c>
      <c r="E42">
        <f>'raw data'!F45*$P$2</f>
        <v>17643.243918344757</v>
      </c>
      <c r="F42">
        <f>'raw data'!G45*$P$2</f>
        <v>16491.47821275418</v>
      </c>
      <c r="G42">
        <f>'raw data'!H45*$P$2</f>
        <v>17448.911685077957</v>
      </c>
      <c r="H42">
        <f>'raw data'!I45*$Q$2</f>
        <v>16585.861442261772</v>
      </c>
      <c r="I42">
        <f>'raw data'!J45*$Q$2</f>
        <v>17383.871883767169</v>
      </c>
      <c r="J42">
        <f>'raw data'!K45*$R$2</f>
        <v>16582.71</v>
      </c>
      <c r="K42">
        <f>'raw data'!L45*$R$2</f>
        <v>17357.905980720228</v>
      </c>
      <c r="L42">
        <f>'raw data'!M45*$R$2</f>
        <v>16582.71</v>
      </c>
      <c r="M42">
        <f>'raw data'!N45*$R$2</f>
        <v>17300.292150000001</v>
      </c>
    </row>
    <row r="43" spans="1:13" x14ac:dyDescent="0.25">
      <c r="A43" s="10">
        <v>40269</v>
      </c>
      <c r="B43">
        <f>'raw data'!C46*$P$2</f>
        <v>16650.805802027546</v>
      </c>
      <c r="C43">
        <f>'raw data'!D46*$P$2</f>
        <v>17706.703950358671</v>
      </c>
      <c r="D43">
        <f>'raw data'!E46*$P$2</f>
        <v>16650.805802027546</v>
      </c>
      <c r="E43">
        <f>'raw data'!F46*$P$2</f>
        <v>17693.266683793448</v>
      </c>
      <c r="F43">
        <f>'raw data'!G46*$P$2</f>
        <v>16650.805802027546</v>
      </c>
      <c r="G43">
        <f>'raw data'!H46*$P$2</f>
        <v>17492.611030966538</v>
      </c>
      <c r="H43">
        <f>'raw data'!I46*$Q$2</f>
        <v>16746.363592910762</v>
      </c>
      <c r="I43">
        <f>'raw data'!J46*$Q$2</f>
        <v>17441.825506996916</v>
      </c>
      <c r="J43">
        <f>'raw data'!K46*$R$2</f>
        <v>16743.162</v>
      </c>
      <c r="K43">
        <f>'raw data'!L46*$R$2</f>
        <v>17419.589716462131</v>
      </c>
      <c r="L43">
        <f>'raw data'!M46*$R$2</f>
        <v>16743.162</v>
      </c>
      <c r="M43">
        <f>'raw data'!N46*$R$2</f>
        <v>17362.172180000001</v>
      </c>
    </row>
    <row r="44" spans="1:13" x14ac:dyDescent="0.25">
      <c r="A44" s="10">
        <v>40360</v>
      </c>
      <c r="B44">
        <f>'raw data'!C47*$P$2</f>
        <v>16763.272335632271</v>
      </c>
      <c r="C44">
        <f>'raw data'!D47*$P$2</f>
        <v>17763.163053573895</v>
      </c>
      <c r="D44">
        <f>'raw data'!E47*$P$2</f>
        <v>16763.272335632271</v>
      </c>
      <c r="E44">
        <f>'raw data'!F47*$P$2</f>
        <v>17743.62820386143</v>
      </c>
      <c r="F44">
        <f>'raw data'!G47*$P$2</f>
        <v>16763.272335632271</v>
      </c>
      <c r="G44">
        <f>'raw data'!H47*$P$2</f>
        <v>17536.197458648694</v>
      </c>
      <c r="H44">
        <f>'raw data'!I47*$Q$2</f>
        <v>16875.837123417772</v>
      </c>
      <c r="I44">
        <f>'raw data'!J47*$Q$2</f>
        <v>17502.704021017158</v>
      </c>
      <c r="J44">
        <f>'raw data'!K47*$R$2</f>
        <v>16872.266</v>
      </c>
      <c r="K44">
        <f>'raw data'!L47*$R$2</f>
        <v>17484.478311341583</v>
      </c>
      <c r="L44">
        <f>'raw data'!M47*$R$2</f>
        <v>16872.266</v>
      </c>
      <c r="M44">
        <f>'raw data'!N47*$R$2</f>
        <v>17426.505870000001</v>
      </c>
    </row>
    <row r="45" spans="1:13" x14ac:dyDescent="0.25">
      <c r="A45" s="10">
        <v>40452</v>
      </c>
      <c r="B45">
        <f>'raw data'!C48*$P$2</f>
        <v>16868.850858644742</v>
      </c>
      <c r="C45">
        <f>'raw data'!D48*$P$2</f>
        <v>17820.412584234135</v>
      </c>
      <c r="D45">
        <f>'raw data'!E48*$P$2</f>
        <v>16868.850858644742</v>
      </c>
      <c r="E45">
        <f>'raw data'!F48*$P$2</f>
        <v>17795.796415232293</v>
      </c>
      <c r="F45">
        <f>'raw data'!G48*$P$2</f>
        <v>16868.850858644742</v>
      </c>
      <c r="G45">
        <f>'raw data'!H48*$P$2</f>
        <v>17580.913068395152</v>
      </c>
      <c r="H45">
        <f>'raw data'!I48*$Q$2</f>
        <v>16963.523156191815</v>
      </c>
      <c r="I45">
        <f>'raw data'!J48*$Q$2</f>
        <v>17565.863791527001</v>
      </c>
      <c r="J45">
        <f>'raw data'!K48*$R$2</f>
        <v>16960.864000000001</v>
      </c>
      <c r="K45">
        <f>'raw data'!L48*$R$2</f>
        <v>17551.856970377874</v>
      </c>
      <c r="L45">
        <f>'raw data'!M48*$R$2</f>
        <v>16960.864000000001</v>
      </c>
      <c r="M45">
        <f>'raw data'!N48*$R$2</f>
        <v>17492.537189999999</v>
      </c>
    </row>
    <row r="46" spans="1:13" x14ac:dyDescent="0.25">
      <c r="A46" s="10">
        <v>40544</v>
      </c>
      <c r="B46">
        <f>'raw data'!C49*$P$2</f>
        <v>16803.697053534372</v>
      </c>
      <c r="C46">
        <f>'raw data'!D49*$P$2</f>
        <v>17881.953006738728</v>
      </c>
      <c r="D46">
        <f>'raw data'!E49*$P$2</f>
        <v>16803.697053534372</v>
      </c>
      <c r="E46">
        <f>'raw data'!F49*$P$2</f>
        <v>17856.433492085445</v>
      </c>
      <c r="F46">
        <f>'raw data'!G49*$P$2</f>
        <v>16803.697053534372</v>
      </c>
      <c r="G46">
        <f>'raw data'!H49*$P$2</f>
        <v>17632.177934114574</v>
      </c>
      <c r="H46">
        <f>'raw data'!I49*$Q$2</f>
        <v>16922.655303192088</v>
      </c>
      <c r="I46">
        <f>'raw data'!J49*$Q$2</f>
        <v>17631.49403439691</v>
      </c>
      <c r="J46">
        <f>'raw data'!K49*$R$2</f>
        <v>16920.632000000001</v>
      </c>
      <c r="K46">
        <f>'raw data'!L49*$R$2</f>
        <v>17621.833112298729</v>
      </c>
      <c r="L46">
        <f>'raw data'!M49*$R$2</f>
        <v>16920.632000000001</v>
      </c>
      <c r="M46">
        <f>'raw data'!N49*$R$2</f>
        <v>17560.495500000001</v>
      </c>
    </row>
    <row r="47" spans="1:13" x14ac:dyDescent="0.25">
      <c r="A47" s="10">
        <v>40634</v>
      </c>
      <c r="B47">
        <f>'raw data'!C50*$P$2</f>
        <v>16925.98747109855</v>
      </c>
      <c r="C47">
        <f>'raw data'!D50*$P$2</f>
        <v>17945.525956959071</v>
      </c>
      <c r="D47">
        <f>'raw data'!E50*$P$2</f>
        <v>16925.98747109855</v>
      </c>
      <c r="E47">
        <f>'raw data'!F50*$P$2</f>
        <v>17919.216014860776</v>
      </c>
      <c r="F47">
        <f>'raw data'!G50*$P$2</f>
        <v>16925.98747109855</v>
      </c>
      <c r="G47">
        <f>'raw data'!H50*$P$2</f>
        <v>17685.475327549746</v>
      </c>
      <c r="H47">
        <f>'raw data'!I50*$Q$2</f>
        <v>17037.399494599365</v>
      </c>
      <c r="I47">
        <f>'raw data'!J50*$Q$2</f>
        <v>17699.806812548097</v>
      </c>
      <c r="J47">
        <f>'raw data'!K50*$R$2</f>
        <v>17035.114000000001</v>
      </c>
      <c r="K47">
        <f>'raw data'!L50*$R$2</f>
        <v>17694.289734496488</v>
      </c>
      <c r="L47">
        <f>'raw data'!M50*$R$2</f>
        <v>17035.114000000001</v>
      </c>
      <c r="M47">
        <f>'raw data'!N50*$R$2</f>
        <v>17630.45708</v>
      </c>
    </row>
    <row r="48" spans="1:13" x14ac:dyDescent="0.25">
      <c r="A48" s="10">
        <v>40725</v>
      </c>
      <c r="B48">
        <f>'raw data'!C51*$P$2</f>
        <v>16961.556706124138</v>
      </c>
      <c r="C48">
        <f>'raw data'!D51*$P$2</f>
        <v>18011.018516688731</v>
      </c>
      <c r="D48">
        <f>'raw data'!E51*$P$2</f>
        <v>16961.556706124138</v>
      </c>
      <c r="E48">
        <f>'raw data'!F51*$P$2</f>
        <v>17983.69231073256</v>
      </c>
      <c r="F48">
        <f>'raw data'!G51*$P$2</f>
        <v>16961.556706124138</v>
      </c>
      <c r="G48">
        <f>'raw data'!H51*$P$2</f>
        <v>17741.144003319958</v>
      </c>
      <c r="H48">
        <f>'raw data'!I51*$Q$2</f>
        <v>17030.794578224686</v>
      </c>
      <c r="I48">
        <f>'raw data'!J51*$Q$2</f>
        <v>17770.615530475759</v>
      </c>
      <c r="J48">
        <f>'raw data'!K51*$R$2</f>
        <v>17031.312999999998</v>
      </c>
      <c r="K48">
        <f>'raw data'!L51*$R$2</f>
        <v>17769.091548927314</v>
      </c>
      <c r="L48">
        <f>'raw data'!M51*$R$2</f>
        <v>17031.312999999998</v>
      </c>
      <c r="M48">
        <f>'raw data'!N51*$R$2</f>
        <v>17702.57186</v>
      </c>
    </row>
    <row r="49" spans="1:13" x14ac:dyDescent="0.25">
      <c r="A49" s="10">
        <v>40817</v>
      </c>
      <c r="B49">
        <f>'raw data'!C52*$P$2</f>
        <v>17152.614311404457</v>
      </c>
      <c r="C49">
        <f>'raw data'!D52*$P$2</f>
        <v>18078.317767721277</v>
      </c>
      <c r="D49">
        <f>'raw data'!E52*$P$2</f>
        <v>17152.614311404457</v>
      </c>
      <c r="E49">
        <f>'raw data'!F52*$P$2</f>
        <v>18049.523625081514</v>
      </c>
      <c r="F49">
        <f>'raw data'!G52*$P$2</f>
        <v>17152.614311404457</v>
      </c>
      <c r="G49">
        <f>'raw data'!H52*$P$2</f>
        <v>17799.183961425209</v>
      </c>
      <c r="H49">
        <f>'raw data'!I52*$Q$2</f>
        <v>17221.825285485091</v>
      </c>
      <c r="I49">
        <f>'raw data'!J52*$Q$2</f>
        <v>17843.352373505975</v>
      </c>
      <c r="J49">
        <f>'raw data'!K52*$R$2</f>
        <v>17222.582999999999</v>
      </c>
      <c r="K49">
        <f>'raw data'!L52*$R$2</f>
        <v>17845.433170509936</v>
      </c>
      <c r="L49">
        <f>'raw data'!M52*$R$2</f>
        <v>17222.582999999999</v>
      </c>
      <c r="M49">
        <f>'raw data'!N52*$R$2</f>
        <v>17776.288390000002</v>
      </c>
    </row>
    <row r="50" spans="1:13" x14ac:dyDescent="0.25">
      <c r="A50" s="10">
        <v>40909</v>
      </c>
      <c r="B50">
        <f>'raw data'!C53*$P$2</f>
        <v>17248.256032251047</v>
      </c>
      <c r="C50">
        <f>'raw data'!D53*$P$2</f>
        <v>18147.649546469573</v>
      </c>
      <c r="D50">
        <f>'raw data'!E53*$P$2</f>
        <v>17266.322945279921</v>
      </c>
      <c r="E50">
        <f>'raw data'!F53*$P$2</f>
        <v>18114.11283915973</v>
      </c>
      <c r="F50">
        <f>'raw data'!G53*$P$2</f>
        <v>17266.322945279921</v>
      </c>
      <c r="G50">
        <f>'raw data'!H53*$P$2</f>
        <v>17858.917692626914</v>
      </c>
      <c r="H50">
        <f>'raw data'!I53*$Q$2</f>
        <v>17362.686528838261</v>
      </c>
      <c r="I50">
        <f>'raw data'!J53*$Q$2</f>
        <v>17917.93166213806</v>
      </c>
      <c r="J50">
        <f>'raw data'!K53*$R$2</f>
        <v>17367.009999999998</v>
      </c>
      <c r="K50">
        <f>'raw data'!L53*$R$2</f>
        <v>17923.095226368296</v>
      </c>
      <c r="L50">
        <f>'raw data'!M53*$R$2</f>
        <v>17367.009999999998</v>
      </c>
      <c r="M50">
        <f>'raw data'!N53*$R$2</f>
        <v>17851.548589999999</v>
      </c>
    </row>
    <row r="51" spans="1:13" x14ac:dyDescent="0.25">
      <c r="A51" s="10">
        <v>41000</v>
      </c>
      <c r="B51">
        <f>'raw data'!C54*$P$2</f>
        <v>17317.926565618636</v>
      </c>
      <c r="C51">
        <f>'raw data'!D54*$P$2</f>
        <v>18219.578443965769</v>
      </c>
      <c r="D51">
        <f>'raw data'!E54*$P$2</f>
        <v>17346.94654467126</v>
      </c>
      <c r="E51">
        <f>'raw data'!F54*$P$2</f>
        <v>18180.169989921542</v>
      </c>
      <c r="F51">
        <f>'raw data'!G54*$P$2</f>
        <v>17346.94654467126</v>
      </c>
      <c r="G51">
        <f>'raw data'!H54*$P$2</f>
        <v>17921.700215402245</v>
      </c>
      <c r="H51">
        <f>'raw data'!I54*$Q$2</f>
        <v>17441.836069368506</v>
      </c>
      <c r="I51">
        <f>'raw data'!J54*$Q$2</f>
        <v>17994.744487921889</v>
      </c>
      <c r="J51">
        <f>'raw data'!K54*$R$2</f>
        <v>17444.525000000001</v>
      </c>
      <c r="K51">
        <f>'raw data'!L54*$R$2</f>
        <v>18002.35699627026</v>
      </c>
      <c r="L51">
        <f>'raw data'!M54*$R$2</f>
        <v>17444.525000000001</v>
      </c>
      <c r="M51">
        <f>'raw data'!N54*$R$2</f>
        <v>17928.884300000002</v>
      </c>
    </row>
    <row r="52" spans="1:13" x14ac:dyDescent="0.25">
      <c r="A52" s="10">
        <v>41091</v>
      </c>
      <c r="B52">
        <f>'raw data'!C55*$P$2</f>
        <v>17424.747188901838</v>
      </c>
      <c r="C52">
        <f>'raw data'!D55*$P$2</f>
        <v>18292.862359939132</v>
      </c>
      <c r="D52">
        <f>'raw data'!E55*$P$2</f>
        <v>17367.723494654463</v>
      </c>
      <c r="E52">
        <f>'raw data'!F55*$P$2</f>
        <v>18246.904649921937</v>
      </c>
      <c r="F52">
        <f>'raw data'!G55*$P$2</f>
        <v>17367.723494654463</v>
      </c>
      <c r="G52">
        <f>'raw data'!H55*$P$2</f>
        <v>17986.741102306183</v>
      </c>
      <c r="H52">
        <f>'raw data'!I55*$Q$2</f>
        <v>17472.338871635002</v>
      </c>
      <c r="I52">
        <f>'raw data'!J55*$Q$2</f>
        <v>18073.283581863379</v>
      </c>
      <c r="J52">
        <f>'raw data'!K55*$R$2</f>
        <v>17469.650000000001</v>
      </c>
      <c r="K52">
        <f>'raw data'!L55*$R$2</f>
        <v>18082.645749966941</v>
      </c>
      <c r="L52">
        <f>'raw data'!M55*$R$2</f>
        <v>17469.650000000001</v>
      </c>
      <c r="M52">
        <f>'raw data'!N55*$R$2</f>
        <v>18007.78469</v>
      </c>
    </row>
    <row r="53" spans="1:13" x14ac:dyDescent="0.25">
      <c r="A53" s="10">
        <v>41183</v>
      </c>
      <c r="B53">
        <f>'raw data'!C56*$P$2</f>
        <v>17427.457225856171</v>
      </c>
      <c r="C53">
        <f>'raw data'!D56*$P$2</f>
        <v>18367.275457976797</v>
      </c>
      <c r="D53">
        <f>'raw data'!E56*$P$2</f>
        <v>17371.675631879527</v>
      </c>
      <c r="E53">
        <f>'raw data'!F56*$P$2</f>
        <v>18314.090982748054</v>
      </c>
      <c r="F53">
        <f>'raw data'!G56*$P$2</f>
        <v>17371.675631879527</v>
      </c>
      <c r="G53">
        <f>'raw data'!H56*$P$2</f>
        <v>18053.701598719439</v>
      </c>
      <c r="H53">
        <f>'raw data'!I56*$Q$2</f>
        <v>17491.530150992396</v>
      </c>
      <c r="I53">
        <f>'raw data'!J56*$Q$2</f>
        <v>18153.222458862925</v>
      </c>
      <c r="J53">
        <f>'raw data'!K56*$R$2</f>
        <v>17489.851999999999</v>
      </c>
      <c r="K53">
        <f>'raw data'!L56*$R$2</f>
        <v>18163.79376867256</v>
      </c>
      <c r="L53">
        <f>'raw data'!M56*$R$2</f>
        <v>17489.851999999999</v>
      </c>
      <c r="M53">
        <f>'raw data'!N56*$R$2</f>
        <v>18088.028030000001</v>
      </c>
    </row>
    <row r="54" spans="1:13" x14ac:dyDescent="0.25">
      <c r="A54" s="10">
        <v>41275</v>
      </c>
      <c r="B54">
        <f>'raw data'!C57*$P$2</f>
        <v>17545.682587988849</v>
      </c>
      <c r="C54">
        <f>'raw data'!D57*$P$2</f>
        <v>18442.140228840184</v>
      </c>
      <c r="D54">
        <f>'raw data'!E57*$P$2</f>
        <v>17453.993004367327</v>
      </c>
      <c r="E54">
        <f>'raw data'!F57*$P$2</f>
        <v>18382.180661225615</v>
      </c>
      <c r="F54">
        <f>'raw data'!G57*$P$2</f>
        <v>17493.175621998693</v>
      </c>
      <c r="G54">
        <f>'raw data'!H57*$P$2</f>
        <v>18122.581704642012</v>
      </c>
      <c r="H54">
        <f>'raw data'!I57*$Q$2</f>
        <v>17643.319821373956</v>
      </c>
      <c r="I54">
        <f>'raw data'!J57*$Q$2</f>
        <v>18234.689465252275</v>
      </c>
      <c r="J54">
        <f>'raw data'!K57*$R$2</f>
        <v>17662.400000000001</v>
      </c>
      <c r="K54">
        <f>'raw data'!L57*$R$2</f>
        <v>18246.421371142042</v>
      </c>
      <c r="L54">
        <f>'raw data'!M57*$R$2</f>
        <v>17662.400000000001</v>
      </c>
      <c r="M54">
        <f>'raw data'!N57*$R$2</f>
        <v>18170.177759999999</v>
      </c>
    </row>
    <row r="55" spans="1:13" x14ac:dyDescent="0.25">
      <c r="A55" s="10">
        <v>41365</v>
      </c>
      <c r="B55">
        <f>'raw data'!C58*$P$2</f>
        <v>17622.692804774419</v>
      </c>
      <c r="C55">
        <f>'raw data'!D58*$P$2</f>
        <v>18516.327490464988</v>
      </c>
      <c r="D55">
        <f>'raw data'!E58*$P$2</f>
        <v>17502.547833132419</v>
      </c>
      <c r="E55">
        <f>'raw data'!F58*$P$2</f>
        <v>18449.028239432442</v>
      </c>
      <c r="F55">
        <f>'raw data'!G58*$P$2</f>
        <v>17526.712329308535</v>
      </c>
      <c r="G55">
        <f>'raw data'!H58*$P$2</f>
        <v>18192.70391083532</v>
      </c>
      <c r="H55">
        <f>'raw data'!I58*$Q$2</f>
        <v>17667.912001480949</v>
      </c>
      <c r="I55">
        <f>'raw data'!J58*$Q$2</f>
        <v>18317.312167613345</v>
      </c>
      <c r="J55">
        <f>'raw data'!K58*$R$2</f>
        <v>17709.670999999998</v>
      </c>
      <c r="K55">
        <f>'raw data'!L58*$R$2</f>
        <v>18329.440468379704</v>
      </c>
      <c r="L55">
        <f>'raw data'!M58*$R$2</f>
        <v>17709.670999999998</v>
      </c>
      <c r="M55">
        <f>'raw data'!N58*$R$2</f>
        <v>18253.527559999999</v>
      </c>
    </row>
    <row r="56" spans="1:13" x14ac:dyDescent="0.25">
      <c r="A56" s="10">
        <v>41456</v>
      </c>
      <c r="B56">
        <f>'raw data'!C59*$P$2</f>
        <v>17818.380056518385</v>
      </c>
      <c r="C56">
        <f>'raw data'!D59*$P$2</f>
        <v>18591.079343121946</v>
      </c>
      <c r="D56">
        <f>'raw data'!E59*$P$2</f>
        <v>17631.500424875991</v>
      </c>
      <c r="E56">
        <f>'raw data'!F59*$P$2</f>
        <v>18516.440408671417</v>
      </c>
      <c r="F56">
        <f>'raw data'!G59*$P$2</f>
        <v>17661.875422405781</v>
      </c>
      <c r="G56">
        <f>'raw data'!H59*$P$2</f>
        <v>18263.955299092937</v>
      </c>
      <c r="H56">
        <f>'raw data'!I59*$Q$2</f>
        <v>17807.780629456931</v>
      </c>
      <c r="I56">
        <f>'raw data'!J59*$Q$2</f>
        <v>18400.568152879689</v>
      </c>
      <c r="J56">
        <f>'raw data'!K59*$R$2</f>
        <v>17860.45</v>
      </c>
      <c r="K56">
        <f>'raw data'!L59*$R$2</f>
        <v>18412.744840976095</v>
      </c>
      <c r="L56">
        <f>'raw data'!M59*$R$2</f>
        <v>17860.45</v>
      </c>
      <c r="M56">
        <f>'raw data'!N59*$R$2</f>
        <v>18337.598999999998</v>
      </c>
    </row>
    <row r="57" spans="1:13" x14ac:dyDescent="0.25">
      <c r="A57" s="10">
        <v>41548</v>
      </c>
      <c r="B57">
        <f>'raw data'!C60*$P$2</f>
        <v>17972.287571883087</v>
      </c>
      <c r="C57">
        <f>'raw data'!D60*$P$2</f>
        <v>18666.508705017484</v>
      </c>
      <c r="D57">
        <f>'raw data'!E60*$P$2</f>
        <v>17797.603106535182</v>
      </c>
      <c r="E57">
        <f>'raw data'!F60*$P$2</f>
        <v>18584.417168942549</v>
      </c>
      <c r="F57">
        <f>'raw data'!G60*$P$2</f>
        <v>17834.188605418647</v>
      </c>
      <c r="G57">
        <f>'raw data'!H60*$P$2</f>
        <v>18336.222951208423</v>
      </c>
      <c r="H57">
        <f>'raw data'!I60*$Q$2</f>
        <v>17934.424401315682</v>
      </c>
      <c r="I57">
        <f>'raw data'!J60*$Q$2</f>
        <v>18484.969010908491</v>
      </c>
      <c r="J57">
        <f>'raw data'!K60*$R$2</f>
        <v>18016.147000000001</v>
      </c>
      <c r="K57">
        <f>'raw data'!L60*$R$2</f>
        <v>18496.933961338102</v>
      </c>
      <c r="L57">
        <f>'raw data'!M60*$R$2</f>
        <v>18016.147000000001</v>
      </c>
      <c r="M57">
        <f>'raw data'!N60*$R$2</f>
        <v>18422.91329</v>
      </c>
    </row>
    <row r="58" spans="1:13" x14ac:dyDescent="0.25">
      <c r="A58" s="10">
        <v>41640</v>
      </c>
      <c r="B58">
        <f>'raw data'!C61*$P$2</f>
        <v>17876.871687449358</v>
      </c>
      <c r="C58">
        <f>'raw data'!D61*$P$2</f>
        <v>18741.938066913026</v>
      </c>
      <c r="D58">
        <f>'raw data'!E61*$P$2</f>
        <v>17756.275042981637</v>
      </c>
      <c r="E58">
        <f>'raw data'!F61*$P$2</f>
        <v>18652.958520245833</v>
      </c>
      <c r="F58">
        <f>'raw data'!G61*$P$2</f>
        <v>17781.229966602768</v>
      </c>
      <c r="G58">
        <f>'raw data'!H61*$P$2</f>
        <v>18408.490603323909</v>
      </c>
      <c r="H58">
        <f>'raw data'!I61*$Q$2</f>
        <v>17871.634235299167</v>
      </c>
      <c r="I58">
        <f>'raw data'!J61*$Q$2</f>
        <v>18570.405901468988</v>
      </c>
      <c r="J58">
        <f>'raw data'!K61*$R$2</f>
        <v>17953.973999999998</v>
      </c>
      <c r="K58">
        <f>'raw data'!L61*$R$2</f>
        <v>18582.016790391182</v>
      </c>
      <c r="L58">
        <f>'raw data'!M61*$R$2</f>
        <v>17953.973999999998</v>
      </c>
      <c r="M58">
        <f>'raw data'!N61*$R$2</f>
        <v>18509.442999999999</v>
      </c>
    </row>
    <row r="59" spans="1:13" x14ac:dyDescent="0.25">
      <c r="A59" s="10">
        <v>41730</v>
      </c>
      <c r="B59">
        <f>'raw data'!C62*$P$2</f>
        <v>18078.656522340567</v>
      </c>
      <c r="C59">
        <f>'raw data'!D62*$P$2</f>
        <v>18818.157856253576</v>
      </c>
      <c r="D59">
        <f>'raw data'!E62*$P$2</f>
        <v>17955.688595537809</v>
      </c>
      <c r="E59">
        <f>'raw data'!F62*$P$2</f>
        <v>18723.532399264863</v>
      </c>
      <c r="F59">
        <f>'raw data'!G62*$P$2</f>
        <v>17954.898168092797</v>
      </c>
      <c r="G59">
        <f>'raw data'!H62*$P$2</f>
        <v>18482.226192122991</v>
      </c>
      <c r="H59">
        <f>'raw data'!I62*$Q$2</f>
        <v>18101.129056699952</v>
      </c>
      <c r="I59">
        <f>'raw data'!J62*$Q$2</f>
        <v>18656.566070030804</v>
      </c>
      <c r="J59">
        <f>'raw data'!K62*$R$2</f>
        <v>18185.911</v>
      </c>
      <c r="K59">
        <f>'raw data'!L62*$R$2</f>
        <v>18667.807863793321</v>
      </c>
      <c r="L59">
        <f>'raw data'!M62*$R$2</f>
        <v>18185.911</v>
      </c>
      <c r="M59">
        <f>'raw data'!N62*$R$2</f>
        <v>18597.08684</v>
      </c>
    </row>
    <row r="60" spans="1:13" x14ac:dyDescent="0.25">
      <c r="A60" s="10">
        <v>41821</v>
      </c>
      <c r="B60">
        <f>'raw data'!C63*$P$2</f>
        <v>18236.967847756059</v>
      </c>
      <c r="C60">
        <f>'raw data'!D63*$P$2</f>
        <v>18896.297255103447</v>
      </c>
      <c r="D60">
        <f>'raw data'!E63*$P$2</f>
        <v>18144.60075489595</v>
      </c>
      <c r="E60">
        <f>'raw data'!F63*$P$2</f>
        <v>18796.138805999639</v>
      </c>
      <c r="F60">
        <f>'raw data'!G63*$P$2</f>
        <v>18173.620733948577</v>
      </c>
      <c r="G60">
        <f>'raw data'!H63*$P$2</f>
        <v>18556.63929016066</v>
      </c>
      <c r="H60">
        <f>'raw data'!I63*$Q$2</f>
        <v>18312.000267429321</v>
      </c>
      <c r="I60">
        <f>'raw data'!J63*$Q$2</f>
        <v>18744.386969817551</v>
      </c>
      <c r="J60">
        <f>'raw data'!K63*$R$2</f>
        <v>18406.940999999999</v>
      </c>
      <c r="K60">
        <f>'raw data'!L63*$R$2</f>
        <v>18755.213029168317</v>
      </c>
      <c r="L60">
        <f>'raw data'!M63*$R$2</f>
        <v>18406.940999999999</v>
      </c>
      <c r="M60">
        <f>'raw data'!N63*$R$2</f>
        <v>18686.78631</v>
      </c>
    </row>
    <row r="61" spans="1:13" x14ac:dyDescent="0.25">
      <c r="A61" s="10">
        <v>41913</v>
      </c>
      <c r="C61">
        <f>'raw data'!D64*$P$2</f>
        <v>18976.807936288358</v>
      </c>
      <c r="D61">
        <f>'raw data'!E64*$P$2</f>
        <v>18237.8711934075</v>
      </c>
      <c r="E61">
        <f>'raw data'!F64*$P$2</f>
        <v>18870.890658656597</v>
      </c>
      <c r="F61">
        <f>'raw data'!G64*$P$2</f>
        <v>18277.731320277449</v>
      </c>
      <c r="G61">
        <f>'raw data'!H64*$P$2</f>
        <v>18631.616979230475</v>
      </c>
      <c r="H61">
        <f>'raw data'!I64*$Q$2</f>
        <v>18394.219940493756</v>
      </c>
      <c r="I61">
        <f>'raw data'!J64*$Q$2</f>
        <v>18832.880597175259</v>
      </c>
      <c r="J61">
        <f>'raw data'!K64*$R$2</f>
        <v>18500.030999999999</v>
      </c>
      <c r="K61">
        <f>'raw data'!L64*$R$2</f>
        <v>18843.338140242082</v>
      </c>
      <c r="L61">
        <f>'raw data'!M64*$R$2</f>
        <v>18500.030999999999</v>
      </c>
      <c r="M61">
        <f>'raw data'!N64*$R$2</f>
        <v>18777.726559999999</v>
      </c>
    </row>
    <row r="62" spans="1:13" x14ac:dyDescent="0.25">
      <c r="A62" s="10">
        <v>42005</v>
      </c>
      <c r="C62">
        <f>'raw data'!D65*$P$2</f>
        <v>19061.270754698333</v>
      </c>
      <c r="D62">
        <f>'raw data'!E65*$P$2</f>
        <v>18267.117008872989</v>
      </c>
      <c r="E62">
        <f>'raw data'!F65*$P$2</f>
        <v>18949.594648538619</v>
      </c>
      <c r="F62">
        <f>'raw data'!G65*$P$2</f>
        <v>18370.66300416971</v>
      </c>
      <c r="G62">
        <f>'raw data'!H65*$P$2</f>
        <v>18707.272177538875</v>
      </c>
      <c r="H62">
        <f>'raw data'!I65*$Q$2</f>
        <v>18543.822637752393</v>
      </c>
      <c r="I62">
        <f>'raw data'!J65*$Q$2</f>
        <v>18921.674947289313</v>
      </c>
      <c r="J62">
        <f>'raw data'!K65*$R$2</f>
        <v>18666.620999999999</v>
      </c>
      <c r="K62">
        <f>'raw data'!L65*$R$2</f>
        <v>18931.981089988371</v>
      </c>
      <c r="L62">
        <f>'raw data'!M65*$R$2</f>
        <v>18666.620999999999</v>
      </c>
      <c r="M62">
        <f>'raw data'!N65*$R$2</f>
        <v>18869.774669999999</v>
      </c>
    </row>
    <row r="63" spans="1:13" x14ac:dyDescent="0.25">
      <c r="A63" s="10">
        <v>42095</v>
      </c>
      <c r="C63">
        <f>'raw data'!D66*$P$2</f>
        <v>19149.121119301224</v>
      </c>
      <c r="D63">
        <f>'raw data'!E66*$P$2</f>
        <v>18443.608165523779</v>
      </c>
      <c r="E63">
        <f>'raw data'!F66*$P$2</f>
        <v>19030.218247929959</v>
      </c>
      <c r="F63">
        <f>'raw data'!G66*$P$2</f>
        <v>18489.452957334543</v>
      </c>
      <c r="G63">
        <f>'raw data'!H66*$P$2</f>
        <v>18782.70153943442</v>
      </c>
      <c r="H63">
        <f>'raw data'!I66*$Q$2</f>
        <v>18651.377074535729</v>
      </c>
      <c r="I63">
        <f>'raw data'!J66*$Q$2</f>
        <v>19010.571136440776</v>
      </c>
      <c r="J63">
        <f>'raw data'!K66*$R$2</f>
        <v>18782.242999999999</v>
      </c>
      <c r="K63">
        <f>'raw data'!L66*$R$2</f>
        <v>19021.10442842243</v>
      </c>
      <c r="L63">
        <f>'raw data'!M66*$R$2</f>
        <v>18782.242999999999</v>
      </c>
      <c r="M63">
        <f>'raw data'!N66*$R$2</f>
        <v>18963.01626</v>
      </c>
    </row>
    <row r="64" spans="1:13" x14ac:dyDescent="0.25">
      <c r="A64" s="10">
        <v>42186</v>
      </c>
      <c r="C64">
        <f>'raw data'!D67*$P$2</f>
        <v>19240.020275477735</v>
      </c>
      <c r="D64">
        <f>'raw data'!E67*$P$2</f>
        <v>18512.036598620631</v>
      </c>
      <c r="E64">
        <f>'raw data'!F67*$P$2</f>
        <v>19113.10021144991</v>
      </c>
      <c r="F64">
        <f>'raw data'!G67*$P$2</f>
        <v>18580.577949923914</v>
      </c>
      <c r="G64">
        <f>'raw data'!H67*$P$2</f>
        <v>18858.017983123525</v>
      </c>
      <c r="H64">
        <f>'raw data'!I67*$Q$2</f>
        <v>18711.690531048953</v>
      </c>
      <c r="I64">
        <f>'raw data'!J67*$Q$2</f>
        <v>19098.897812776835</v>
      </c>
      <c r="J64">
        <f>'raw data'!K67*$R$2</f>
        <v>18857.418000000001</v>
      </c>
      <c r="K64">
        <f>'raw data'!L67*$R$2</f>
        <v>19110.070942976239</v>
      </c>
      <c r="L64">
        <f>'raw data'!M67*$R$2</f>
        <v>18857.418000000001</v>
      </c>
      <c r="M64">
        <f>'raw data'!N67*$R$2</f>
        <v>19056.838329999999</v>
      </c>
    </row>
    <row r="65" spans="1:13" x14ac:dyDescent="0.25">
      <c r="A65" s="10">
        <v>42278</v>
      </c>
      <c r="C65">
        <f>'raw data'!D68*$P$2</f>
        <v>19333.968223227865</v>
      </c>
      <c r="E65">
        <f>'raw data'!F68*$P$2</f>
        <v>19198.127620892039</v>
      </c>
      <c r="F65">
        <f>'raw data'!G68*$P$2</f>
        <v>18621.002667826015</v>
      </c>
      <c r="G65">
        <f>'raw data'!H68*$P$2</f>
        <v>18932.995672193345</v>
      </c>
      <c r="H65">
        <f>'raw data'!I68*$Q$2</f>
        <v>18739.053449430427</v>
      </c>
      <c r="I65">
        <f>'raw data'!J68*$Q$2</f>
        <v>19185.994375566621</v>
      </c>
      <c r="J65">
        <f>'raw data'!K68*$R$2</f>
        <v>18892.205999999998</v>
      </c>
      <c r="K65">
        <f>'raw data'!L68*$R$2</f>
        <v>19198.658547372055</v>
      </c>
      <c r="L65">
        <f>'raw data'!M68*$R$2</f>
        <v>18892.205999999998</v>
      </c>
      <c r="M65">
        <f>'raw data'!N68*$R$2</f>
        <v>19150.9692</v>
      </c>
    </row>
    <row r="66" spans="1:13" x14ac:dyDescent="0.25">
      <c r="A66" s="10">
        <v>42370</v>
      </c>
      <c r="C66">
        <f>'raw data'!D69*$P$2</f>
        <v>19431.077880758054</v>
      </c>
      <c r="E66">
        <f>'raw data'!F69*$P$2</f>
        <v>19284.848803430621</v>
      </c>
      <c r="F66">
        <f>'raw data'!G69*$P$2</f>
        <v>18659.733612631659</v>
      </c>
      <c r="G66">
        <f>'raw data'!H69*$P$2</f>
        <v>19006.844179198859</v>
      </c>
      <c r="H66">
        <f>'raw data'!I69*$Q$2</f>
        <v>18849.460179913825</v>
      </c>
      <c r="I66">
        <f>'raw data'!J69*$Q$2</f>
        <v>19272.324767187492</v>
      </c>
      <c r="J66">
        <f>'raw data'!K69*$R$2</f>
        <v>19001.689999999999</v>
      </c>
      <c r="K66">
        <f>'raw data'!L69*$R$2</f>
        <v>19286.925281445569</v>
      </c>
      <c r="L66">
        <f>'raw data'!M69*$R$2</f>
        <v>19001.689999999999</v>
      </c>
      <c r="M66">
        <f>'raw data'!N69*$R$2</f>
        <v>19245.222099999999</v>
      </c>
    </row>
    <row r="67" spans="1:13" x14ac:dyDescent="0.25">
      <c r="A67" s="10">
        <v>42461</v>
      </c>
      <c r="C67">
        <f>'raw data'!D70*$P$2</f>
        <v>19531.123411655433</v>
      </c>
      <c r="E67">
        <f>'raw data'!F70*$P$2</f>
        <v>19374.054186510675</v>
      </c>
      <c r="F67">
        <f>'raw data'!G70*$P$2</f>
        <v>18725.339090567748</v>
      </c>
      <c r="G67">
        <f>'raw data'!H70*$P$2</f>
        <v>19079.563504140067</v>
      </c>
      <c r="H67">
        <f>'raw data'!I70*$Q$2</f>
        <v>18906.458837616101</v>
      </c>
      <c r="I67">
        <f>'raw data'!J70*$Q$2</f>
        <v>19357.672333145023</v>
      </c>
      <c r="J67">
        <f>'raw data'!K70*$R$2</f>
        <v>19062.708999999999</v>
      </c>
      <c r="K67">
        <f>'raw data'!L70*$R$2</f>
        <v>19375.150667697071</v>
      </c>
      <c r="L67">
        <f>'raw data'!M70*$R$2</f>
        <v>19062.708999999999</v>
      </c>
      <c r="M67">
        <f>'raw data'!N70*$R$2</f>
        <v>19339.744050000001</v>
      </c>
    </row>
    <row r="68" spans="1:13" x14ac:dyDescent="0.25">
      <c r="A68" s="10">
        <v>42552</v>
      </c>
      <c r="C68">
        <f>'raw data'!D71*$P$2</f>
        <v>19633.766061300706</v>
      </c>
      <c r="E68">
        <f>'raw data'!F71*$P$2</f>
        <v>19465.856688338634</v>
      </c>
      <c r="F68">
        <f>'raw data'!G71*$P$2</f>
        <v>18859.711756219982</v>
      </c>
      <c r="G68">
        <f>'raw data'!H71*$P$2</f>
        <v>19152.169910874843</v>
      </c>
      <c r="H68">
        <f>'raw data'!I71*$Q$2</f>
        <v>19020.108469364215</v>
      </c>
      <c r="I68">
        <f>'raw data'!J71*$Q$2</f>
        <v>19442.007766829</v>
      </c>
      <c r="J68">
        <f>'raw data'!K71*$R$2</f>
        <v>19197.937999999998</v>
      </c>
      <c r="K68">
        <f>'raw data'!L71*$R$2</f>
        <v>19463.204573454474</v>
      </c>
      <c r="L68">
        <f>'raw data'!M71*$R$2</f>
        <v>19197.937999999998</v>
      </c>
      <c r="M68">
        <f>'raw data'!N71*$R$2</f>
        <v>19434.06234</v>
      </c>
    </row>
    <row r="69" spans="1:13" x14ac:dyDescent="0.25">
      <c r="A69" s="10">
        <v>42644</v>
      </c>
      <c r="C69">
        <f>'raw data'!D72*$P$2</f>
        <v>19738.667075074598</v>
      </c>
      <c r="E69">
        <f>'raw data'!F72*$P$2</f>
        <v>19560.256308914486</v>
      </c>
      <c r="G69">
        <f>'raw data'!H72*$P$2</f>
        <v>19225.002154022484</v>
      </c>
      <c r="H69">
        <f>'raw data'!I72*$Q$2</f>
        <v>19114.617257347065</v>
      </c>
      <c r="I69">
        <f>'raw data'!J72*$Q$2</f>
        <v>19525.953785660378</v>
      </c>
      <c r="J69">
        <f>'raw data'!K72*$R$2</f>
        <v>19304.351999999999</v>
      </c>
      <c r="K69">
        <f>'raw data'!L72*$R$2</f>
        <v>19551.310617193991</v>
      </c>
      <c r="L69">
        <f>'raw data'!M72*$R$2</f>
        <v>19304.351999999999</v>
      </c>
      <c r="M69">
        <f>'raw data'!N72*$R$2</f>
        <v>19528.05803</v>
      </c>
    </row>
    <row r="70" spans="1:13" x14ac:dyDescent="0.25">
      <c r="A70" s="10">
        <v>42736</v>
      </c>
      <c r="C70">
        <f>'raw data'!D73*$P$2</f>
        <v>19845.374780151371</v>
      </c>
      <c r="E70">
        <f>'raw data'!F73*$P$2</f>
        <v>19658.156393889687</v>
      </c>
      <c r="G70">
        <f>'raw data'!H73*$P$2</f>
        <v>19298.624824615137</v>
      </c>
      <c r="H70">
        <f>'raw data'!I73*$Q$2</f>
        <v>19196.745717106573</v>
      </c>
      <c r="I70">
        <f>'raw data'!J73*$Q$2</f>
        <v>19610.359232505449</v>
      </c>
      <c r="J70">
        <f>'raw data'!K73*$R$2</f>
        <v>19398.343000000001</v>
      </c>
      <c r="K70">
        <f>'raw data'!L73*$R$2</f>
        <v>19640.089472818603</v>
      </c>
      <c r="L70">
        <f>'raw data'!M73*$R$2</f>
        <v>19398.343000000001</v>
      </c>
      <c r="M70">
        <f>'raw data'!N73*$R$2</f>
        <v>19622.171839999999</v>
      </c>
    </row>
    <row r="71" spans="1:13" x14ac:dyDescent="0.25">
      <c r="A71" s="10">
        <v>42826</v>
      </c>
      <c r="C71">
        <f>'raw data'!D74*$P$2</f>
        <v>19954.566685769616</v>
      </c>
      <c r="E71">
        <f>'raw data'!F74*$P$2</f>
        <v>19759.55694326423</v>
      </c>
      <c r="G71">
        <f>'raw data'!H74*$P$2</f>
        <v>19373.037922652806</v>
      </c>
      <c r="H71">
        <f>'raw data'!I74*$Q$2</f>
        <v>19293.457574677923</v>
      </c>
      <c r="I71">
        <f>'raw data'!J74*$Q$2</f>
        <v>19694.509463622122</v>
      </c>
      <c r="J71">
        <f>'raw data'!K74*$R$2</f>
        <v>19506.949000000001</v>
      </c>
      <c r="K71">
        <f>'raw data'!L74*$R$2</f>
        <v>19730.297923277758</v>
      </c>
      <c r="L71">
        <f>'raw data'!M74*$R$2</f>
        <v>19506.949000000001</v>
      </c>
      <c r="M71">
        <f>'raw data'!N74*$R$2</f>
        <v>19717.083849999999</v>
      </c>
    </row>
    <row r="72" spans="1:13" x14ac:dyDescent="0.25">
      <c r="A72" s="10">
        <v>42917</v>
      </c>
      <c r="C72">
        <f>'raw data'!D75*$P$2</f>
        <v>20065.565282690746</v>
      </c>
      <c r="E72">
        <f>'raw data'!F75*$P$2</f>
        <v>19863.441693180241</v>
      </c>
      <c r="G72">
        <f>'raw data'!H75*$P$2</f>
        <v>19448.354366341915</v>
      </c>
      <c r="H72">
        <f>'raw data'!I75*$Q$2</f>
        <v>19453.108758846789</v>
      </c>
      <c r="I72">
        <f>'raw data'!J75*$Q$2</f>
        <v>19780.950325763715</v>
      </c>
      <c r="J72">
        <f>'raw data'!K75*$R$2</f>
        <v>19660.766</v>
      </c>
      <c r="K72">
        <f>'raw data'!L75*$R$2</f>
        <v>19823.602552180768</v>
      </c>
      <c r="L72">
        <f>'raw data'!M75*$R$2</f>
        <v>19660.766</v>
      </c>
      <c r="M72">
        <f>'raw data'!N75*$R$2</f>
        <v>19814.501609999999</v>
      </c>
    </row>
    <row r="73" spans="1:13" x14ac:dyDescent="0.25">
      <c r="A73" s="10">
        <v>43009</v>
      </c>
      <c r="E73">
        <f>'raw data'!F76*$P$2</f>
        <v>19969.584807224863</v>
      </c>
      <c r="G73">
        <f>'raw data'!H76*$P$2</f>
        <v>19525.13874671462</v>
      </c>
      <c r="H73">
        <f>'raw data'!I76*$Q$2</f>
        <v>19648.740909066521</v>
      </c>
      <c r="I73">
        <f>'raw data'!J76*$Q$2</f>
        <v>19869.558717649528</v>
      </c>
      <c r="J73">
        <f>'raw data'!K76*$R$2</f>
        <v>19882.351999999999</v>
      </c>
      <c r="K73">
        <f>'raw data'!L76*$R$2</f>
        <v>19919.841852530961</v>
      </c>
      <c r="L73">
        <f>'raw data'!M76*$R$2</f>
        <v>19882.351999999999</v>
      </c>
      <c r="M73">
        <f>'raw data'!N76*$R$2</f>
        <v>19914.267609999999</v>
      </c>
    </row>
    <row r="74" spans="1:13" x14ac:dyDescent="0.25">
      <c r="A74" s="10">
        <v>43101</v>
      </c>
      <c r="E74">
        <f>'raw data'!F77*$P$2</f>
        <v>20077.53461257237</v>
      </c>
      <c r="G74">
        <f>'raw data'!H77*$P$2</f>
        <v>19604.181491215932</v>
      </c>
      <c r="H74">
        <f>'raw data'!I77*$Q$2</f>
        <v>19784.838671706901</v>
      </c>
      <c r="I74">
        <f>'raw data'!J77*$Q$2</f>
        <v>19960.199487913818</v>
      </c>
      <c r="J74">
        <f>'raw data'!K77*$R$2</f>
        <v>20044.077000000001</v>
      </c>
      <c r="K74">
        <f>'raw data'!L77*$R$2</f>
        <v>20019.170108155347</v>
      </c>
      <c r="L74">
        <f>'raw data'!M77*$R$2</f>
        <v>20044.077000000001</v>
      </c>
      <c r="M74">
        <f>'raw data'!N77*$R$2</f>
        <v>20016.543170000001</v>
      </c>
    </row>
    <row r="75" spans="1:13" x14ac:dyDescent="0.25">
      <c r="A75" s="10">
        <v>43191</v>
      </c>
      <c r="E75">
        <f>'raw data'!F78*$P$2</f>
        <v>20187.178191016341</v>
      </c>
      <c r="G75">
        <f>'raw data'!H78*$P$2</f>
        <v>19684.918008813704</v>
      </c>
      <c r="H75">
        <f>'raw data'!I78*$Q$2</f>
        <v>19922.806843647213</v>
      </c>
      <c r="I75">
        <f>'raw data'!J78*$Q$2</f>
        <v>20053.322456150523</v>
      </c>
      <c r="J75">
        <f>'raw data'!K78*$R$2</f>
        <v>20150.475999999999</v>
      </c>
      <c r="K75">
        <f>'raw data'!L78*$R$2</f>
        <v>20121.719174325484</v>
      </c>
      <c r="L75">
        <f>'raw data'!M78*$R$2</f>
        <v>20150.475999999999</v>
      </c>
      <c r="M75">
        <f>'raw data'!N78*$R$2</f>
        <v>20121.67138</v>
      </c>
    </row>
    <row r="76" spans="1:13" x14ac:dyDescent="0.25">
      <c r="A76" s="10">
        <v>43282</v>
      </c>
      <c r="E76">
        <f>'raw data'!F79*$P$2</f>
        <v>20298.063869731042</v>
      </c>
      <c r="G76">
        <f>'raw data'!H79*$P$2</f>
        <v>19767.348299507932</v>
      </c>
      <c r="H76">
        <f>'raw data'!I79*$Q$2</f>
        <v>20066.656664108988</v>
      </c>
      <c r="I76">
        <f>'raw data'!J79*$Q$2</f>
        <v>20148.588865531903</v>
      </c>
      <c r="J76">
        <f>'raw data'!K79*$R$2</f>
        <v>20276.153999999999</v>
      </c>
      <c r="K76">
        <f>'raw data'!L79*$R$2</f>
        <v>20226.065825727994</v>
      </c>
      <c r="L76">
        <f>'raw data'!M79*$R$2</f>
        <v>20276.153999999999</v>
      </c>
      <c r="M76">
        <f>'raw data'!N79*$R$2</f>
        <v>20228.129679999998</v>
      </c>
    </row>
    <row r="77" spans="1:13" x14ac:dyDescent="0.25">
      <c r="A77" s="10">
        <v>43374</v>
      </c>
      <c r="E77">
        <f>'raw data'!F80*$P$2</f>
        <v>20410.078730510042</v>
      </c>
      <c r="G77">
        <f>'raw data'!H80*$P$2</f>
        <v>19851.472363298617</v>
      </c>
      <c r="H77">
        <f>'raw data'!I80*$Q$2</f>
        <v>20103.134474397295</v>
      </c>
      <c r="I77">
        <f>'raw data'!J80*$Q$2</f>
        <v>20244.388361467692</v>
      </c>
      <c r="J77">
        <f>'raw data'!K80*$R$2</f>
        <v>20304.874</v>
      </c>
      <c r="K77">
        <f>'raw data'!L80*$R$2</f>
        <v>20331.495409344039</v>
      </c>
      <c r="L77">
        <f>'raw data'!M80*$R$2</f>
        <v>20304.874</v>
      </c>
      <c r="M77">
        <f>'raw data'!N80*$R$2</f>
        <v>20335.098730000002</v>
      </c>
    </row>
    <row r="78" spans="1:13" x14ac:dyDescent="0.25">
      <c r="A78" s="10">
        <v>43466</v>
      </c>
      <c r="E78">
        <f>'raw data'!F81*$P$2</f>
        <v>20522.31942770191</v>
      </c>
      <c r="G78">
        <f>'raw data'!H81*$P$2</f>
        <v>19937.403118392187</v>
      </c>
      <c r="H78">
        <f>'raw data'!I81*$Q$2</f>
        <v>20212.236318071333</v>
      </c>
      <c r="I78">
        <f>'raw data'!J81*$Q$2</f>
        <v>20340.314391791988</v>
      </c>
      <c r="J78">
        <f>'raw data'!K81*$R$2</f>
        <v>20431.641</v>
      </c>
      <c r="K78">
        <f>'raw data'!L81*$R$2</f>
        <v>20437.922153625848</v>
      </c>
      <c r="L78">
        <f>'raw data'!M81*$R$2</f>
        <v>20431.641</v>
      </c>
      <c r="M78">
        <f>'raw data'!N81*$R$2</f>
        <v>20443.033039999998</v>
      </c>
    </row>
    <row r="79" spans="1:13" x14ac:dyDescent="0.25">
      <c r="A79" s="10">
        <v>43556</v>
      </c>
      <c r="E79">
        <f>'raw data'!F82*$P$2</f>
        <v>20635.802225164512</v>
      </c>
      <c r="G79">
        <f>'raw data'!H82*$P$2</f>
        <v>20025.140564788646</v>
      </c>
      <c r="H79">
        <f>'raw data'!I82*$Q$2</f>
        <v>20348.266475556295</v>
      </c>
      <c r="I79">
        <f>'raw data'!J82*$Q$2</f>
        <v>20437.018588269799</v>
      </c>
      <c r="J79">
        <f>'raw data'!K82*$R$2</f>
        <v>20602.275000000001</v>
      </c>
      <c r="K79">
        <f>'raw data'!L82*$R$2</f>
        <v>20545.449540277205</v>
      </c>
      <c r="L79">
        <f>'raw data'!M82*$R$2</f>
        <v>20602.275000000001</v>
      </c>
      <c r="M79">
        <f>'raw data'!N82*$R$2</f>
        <v>20551.11493</v>
      </c>
    </row>
    <row r="80" spans="1:13" x14ac:dyDescent="0.25">
      <c r="A80" s="10">
        <v>43647</v>
      </c>
      <c r="E80">
        <f>'raw data'!F83*$P$2</f>
        <v>20749.962531865694</v>
      </c>
      <c r="H80">
        <f>'raw data'!I83*$Q$2</f>
        <v>20529.359224970089</v>
      </c>
      <c r="I80">
        <f>'raw data'!J83*$Q$2</f>
        <v>20534.174583150885</v>
      </c>
      <c r="J80">
        <f>'raw data'!K83*$R$2</f>
        <v>20843.322</v>
      </c>
      <c r="K80">
        <f>'raw data'!L83*$R$2</f>
        <v>20653.077458118809</v>
      </c>
      <c r="L80">
        <f>'raw data'!M83*$R$2</f>
        <v>20843.322</v>
      </c>
      <c r="M80">
        <f>'raw data'!N83*$R$2</f>
        <v>20658.996609999998</v>
      </c>
    </row>
    <row r="81" spans="1:13" x14ac:dyDescent="0.25">
      <c r="A81" s="10">
        <v>43739</v>
      </c>
      <c r="E81">
        <f>'raw data'!F84*$P$2</f>
        <v>20864.913266011892</v>
      </c>
      <c r="H81">
        <f>'raw data'!I84*$Q$2</f>
        <v>20620.313913353759</v>
      </c>
      <c r="I81">
        <f>'raw data'!J84*$Q$2</f>
        <v>20630.946257430991</v>
      </c>
      <c r="J81">
        <f>'raw data'!K84*$R$2</f>
        <v>20985.448</v>
      </c>
      <c r="K81">
        <f>'raw data'!L84*$R$2</f>
        <v>20758.053508750327</v>
      </c>
      <c r="L81">
        <f>'raw data'!M84*$R$2</f>
        <v>20985.448</v>
      </c>
      <c r="M81">
        <f>'raw data'!N84*$R$2</f>
        <v>20763.979200000002</v>
      </c>
    </row>
    <row r="82" spans="1:13" x14ac:dyDescent="0.25">
      <c r="A82" s="10">
        <v>43831</v>
      </c>
      <c r="E82">
        <f>'raw data'!F85*$P$2</f>
        <v>20980.654427603105</v>
      </c>
      <c r="H82">
        <f>'raw data'!I85*$Q$2</f>
        <v>20377.993428182028</v>
      </c>
      <c r="I82">
        <f>'raw data'!J85*$Q$2</f>
        <v>20726.163443153659</v>
      </c>
      <c r="J82">
        <f>'raw data'!K85*$R$2</f>
        <v>20693.238000000001</v>
      </c>
      <c r="K82">
        <f>'raw data'!L85*$R$2</f>
        <v>20861.839254959668</v>
      </c>
      <c r="L82">
        <f>'raw data'!M85*$R$2</f>
        <v>20709.212</v>
      </c>
      <c r="M82">
        <f>'raw data'!N85*$R$2</f>
        <v>20867.276900000001</v>
      </c>
    </row>
    <row r="83" spans="1:13" x14ac:dyDescent="0.25">
      <c r="A83" s="10">
        <v>43922</v>
      </c>
      <c r="E83">
        <f>'raw data'!F86*$P$2</f>
        <v>21096.960180226466</v>
      </c>
      <c r="H83">
        <f>'raw data'!I86*$Q$2</f>
        <v>18649.05596419967</v>
      </c>
      <c r="I83">
        <f>'raw data'!J86*$Q$2</f>
        <v>20817.730007269067</v>
      </c>
      <c r="J83">
        <f>'raw data'!K86*$R$2</f>
        <v>19056.616999999998</v>
      </c>
      <c r="K83">
        <f>'raw data'!L86*$R$2</f>
        <v>20965.14022286726</v>
      </c>
      <c r="L83">
        <f>'raw data'!M86*$R$2</f>
        <v>19077.991999999998</v>
      </c>
      <c r="M83">
        <f>'raw data'!N86*$R$2</f>
        <v>20970.42195</v>
      </c>
    </row>
    <row r="84" spans="1:13" x14ac:dyDescent="0.25">
      <c r="A84" s="10">
        <v>44013</v>
      </c>
      <c r="E84">
        <f>'raw data'!F87*$P$2</f>
        <v>21213.491769262684</v>
      </c>
      <c r="H84">
        <f>'raw data'!I87*$Q$2</f>
        <v>20113.842916396145</v>
      </c>
      <c r="I84">
        <f>'raw data'!J87*$Q$2</f>
        <v>20900.953948076709</v>
      </c>
      <c r="J84">
        <f>'raw data'!K87*$R$2</f>
        <v>20548.793000000001</v>
      </c>
      <c r="K84">
        <f>'raw data'!L87*$R$2</f>
        <v>21065.729188009209</v>
      </c>
      <c r="L84">
        <f>'raw data'!M87*$R$2</f>
        <v>20558.879000000001</v>
      </c>
      <c r="M84">
        <f>'raw data'!N87*$R$2</f>
        <v>21071.762630000001</v>
      </c>
    </row>
    <row r="85" spans="1:13" x14ac:dyDescent="0.25">
      <c r="A85" s="10">
        <v>44105</v>
      </c>
      <c r="E85">
        <f>'raw data'!F88*$P$2</f>
        <v>21330.362112918199</v>
      </c>
      <c r="H85">
        <f>'raw data'!I88*$Q$2</f>
        <v>20307.582122264135</v>
      </c>
      <c r="I85">
        <f>'raw data'!J88*$Q$2</f>
        <v>20989.009101725915</v>
      </c>
      <c r="J85">
        <f>'raw data'!K88*$R$2</f>
        <v>20771.690999999999</v>
      </c>
      <c r="K85">
        <f>'raw data'!L88*$R$2</f>
        <v>21167.089996800521</v>
      </c>
      <c r="L85">
        <f>'raw data'!M88*$R$2</f>
        <v>20791.917000000001</v>
      </c>
      <c r="M85">
        <f>'raw data'!N88*$R$2</f>
        <v>21174.33034</v>
      </c>
    </row>
    <row r="86" spans="1:13" x14ac:dyDescent="0.25">
      <c r="A86" s="10">
        <v>44197</v>
      </c>
      <c r="E86">
        <f>'raw data'!F89*$P$2</f>
        <v>21447.006620160857</v>
      </c>
      <c r="H86">
        <f>'raw data'!I89*$Q$2</f>
        <v>20620.885874430558</v>
      </c>
      <c r="I86">
        <f>'raw data'!J89*$Q$2</f>
        <v>21080.457136188277</v>
      </c>
      <c r="J86">
        <f>'raw data'!K89*$R$2</f>
        <v>21058.379000000001</v>
      </c>
      <c r="K86">
        <f>'raw data'!L89*$R$2</f>
        <v>21261.600036399403</v>
      </c>
      <c r="L86">
        <f>'raw data'!M89*$R$2</f>
        <v>21082.133999999998</v>
      </c>
      <c r="M86">
        <f>'raw data'!N89*$R$2</f>
        <v>21277.703150000001</v>
      </c>
    </row>
    <row r="87" spans="1:13" x14ac:dyDescent="0.25">
      <c r="A87" s="10">
        <v>44287</v>
      </c>
      <c r="E87">
        <f>'raw data'!F90*$P$2</f>
        <v>21563.538209197079</v>
      </c>
      <c r="H87">
        <f>'raw data'!I90*$Q$2</f>
        <v>20972.887676037066</v>
      </c>
      <c r="I87">
        <f>'raw data'!J90*$Q$2</f>
        <v>21175.426283086599</v>
      </c>
      <c r="J87">
        <f>'raw data'!K90*$R$2</f>
        <v>21389.005000000001</v>
      </c>
      <c r="K87">
        <f>'raw data'!L90*$R$2</f>
        <v>21355.977382899266</v>
      </c>
      <c r="L87">
        <f>'raw data'!M90*$R$2</f>
        <v>21440.929</v>
      </c>
      <c r="M87">
        <f>'raw data'!N90*$R$2</f>
        <v>21382.898349999999</v>
      </c>
    </row>
    <row r="88" spans="1:13" x14ac:dyDescent="0.25">
      <c r="A88" s="10">
        <v>44378</v>
      </c>
      <c r="E88">
        <f>'raw data'!F91*$P$2</f>
        <v>21680.182716439733</v>
      </c>
      <c r="H88">
        <f>'raw data'!I91*$Q$2</f>
        <v>21110.615474091446</v>
      </c>
      <c r="I88">
        <f>'raw data'!J91*$Q$2</f>
        <v>21271.822649932659</v>
      </c>
      <c r="J88">
        <f>'raw data'!K91*$R$2</f>
        <v>21571.420999999998</v>
      </c>
      <c r="K88">
        <f>'raw data'!L91*$R$2</f>
        <v>21454.647379006667</v>
      </c>
      <c r="L88">
        <f>'raw data'!M91*$R$2</f>
        <v>21617.828000000001</v>
      </c>
      <c r="M88">
        <f>'raw data'!N91*$R$2</f>
        <v>21493.01915</v>
      </c>
    </row>
    <row r="89" spans="1:13" x14ac:dyDescent="0.25">
      <c r="A89" s="10">
        <v>44470</v>
      </c>
      <c r="E89">
        <f>'raw data'!F92*$P$2</f>
        <v>21796.827223682387</v>
      </c>
      <c r="H89">
        <f>'raw data'!I92*$Q$2</f>
        <v>21468.586918231234</v>
      </c>
      <c r="I89">
        <f>'raw data'!J92*$Q$2</f>
        <v>21369.978897015029</v>
      </c>
      <c r="J89">
        <f>'raw data'!K92*$R$2</f>
        <v>21960.387999999999</v>
      </c>
      <c r="K89">
        <f>'raw data'!L92*$R$2</f>
        <v>21558.240246488447</v>
      </c>
      <c r="L89">
        <f>'raw data'!M92*$R$2</f>
        <v>21988.737000000001</v>
      </c>
      <c r="M89">
        <f>'raw data'!N92*$R$2</f>
        <v>21606.080760000001</v>
      </c>
    </row>
    <row r="90" spans="1:13" x14ac:dyDescent="0.25">
      <c r="A90" s="10">
        <v>44562</v>
      </c>
      <c r="E90">
        <f>'raw data'!F93*$P$2</f>
        <v>21913.358812718612</v>
      </c>
      <c r="H90">
        <f>'raw data'!I93*$Q$2</f>
        <v>21380.493108329265</v>
      </c>
      <c r="I90">
        <f>'raw data'!J93*$Q$2</f>
        <v>21467.802483808831</v>
      </c>
      <c r="J90">
        <f>'raw data'!K93*$R$2</f>
        <v>21903.85</v>
      </c>
      <c r="K90">
        <f>'raw data'!L93*$R$2</f>
        <v>21667.693840715187</v>
      </c>
      <c r="L90">
        <f>'raw data'!M93*$R$2</f>
        <v>21932.71</v>
      </c>
      <c r="M90">
        <f>'raw data'!N93*$R$2</f>
        <v>21722.024799999999</v>
      </c>
    </row>
    <row r="91" spans="1:13" x14ac:dyDescent="0.25">
      <c r="A91" s="10">
        <v>44652</v>
      </c>
      <c r="E91">
        <f>'raw data'!F94*$P$2</f>
        <v>22029.89040175483</v>
      </c>
      <c r="H91">
        <f>'raw data'!I94*$Q$2</f>
        <v>21349.569651762384</v>
      </c>
      <c r="I91">
        <f>'raw data'!J94*$Q$2</f>
        <v>21570.53012711478</v>
      </c>
      <c r="J91">
        <f>'raw data'!K94*$R$2</f>
        <v>21919.222000000002</v>
      </c>
      <c r="K91">
        <f>'raw data'!L94*$R$2</f>
        <v>21780.141105803119</v>
      </c>
      <c r="L91">
        <f>'raw data'!M94*$R$2</f>
        <v>21967.044999999998</v>
      </c>
      <c r="M91">
        <f>'raw data'!N94*$R$2</f>
        <v>21840.566360000001</v>
      </c>
    </row>
    <row r="92" spans="1:13" x14ac:dyDescent="0.25">
      <c r="A92" s="10">
        <v>44743</v>
      </c>
      <c r="E92">
        <f>'raw data'!F95*$P$2</f>
        <v>22146.534908997488</v>
      </c>
      <c r="H92">
        <f>'raw data'!I95*$Q$2</f>
        <v>21485.262856567955</v>
      </c>
      <c r="I92">
        <f>'raw data'!J95*$Q$2</f>
        <v>21674.363061056945</v>
      </c>
      <c r="J92">
        <f>'raw data'!K95*$R$2</f>
        <v>22066.784</v>
      </c>
      <c r="K92">
        <f>'raw data'!L95*$R$2</f>
        <v>21892.766608315182</v>
      </c>
      <c r="L92">
        <f>'raw data'!M95*$R$2</f>
        <v>22125.625</v>
      </c>
      <c r="M92">
        <f>'raw data'!N95*$R$2</f>
        <v>21961.535080000001</v>
      </c>
    </row>
    <row r="93" spans="1:13" x14ac:dyDescent="0.25">
      <c r="A93" s="10">
        <v>44835</v>
      </c>
      <c r="E93">
        <f>'raw data'!F96*$P$2</f>
        <v>22263.179416240138</v>
      </c>
      <c r="I93">
        <f>'raw data'!J96*$Q$2</f>
        <v>21779.022280232017</v>
      </c>
      <c r="J93">
        <f>'raw data'!K96*$R$2</f>
        <v>22249.458999999999</v>
      </c>
      <c r="K93">
        <f>'raw data'!L96*$R$2</f>
        <v>22004.679068190035</v>
      </c>
      <c r="L93">
        <f>'raw data'!M96*$R$2</f>
        <v>22278.345000000001</v>
      </c>
      <c r="M93">
        <f>'raw data'!N96*$R$2</f>
        <v>22084.925360000001</v>
      </c>
    </row>
    <row r="94" spans="1:13" x14ac:dyDescent="0.25">
      <c r="A94" s="10">
        <v>44927</v>
      </c>
      <c r="E94">
        <f>'raw data'!F97*$P$2</f>
        <v>22379.936841689221</v>
      </c>
      <c r="I94">
        <f>'raw data'!J97*$Q$2</f>
        <v>21884.346819984225</v>
      </c>
      <c r="J94">
        <f>'raw data'!K97*$R$2</f>
        <v>22403.435000000001</v>
      </c>
      <c r="K94">
        <f>'raw data'!L97*$R$2</f>
        <v>22116.38</v>
      </c>
      <c r="L94">
        <f>'raw data'!M97*$R$2</f>
        <v>22439.607</v>
      </c>
      <c r="M94">
        <f>'raw data'!N97*$R$2</f>
        <v>22208.242539999999</v>
      </c>
    </row>
    <row r="95" spans="1:13" x14ac:dyDescent="0.25">
      <c r="A95" s="10">
        <v>45017</v>
      </c>
      <c r="E95">
        <f>'raw data'!F98*$P$2</f>
        <v>22496.468430725447</v>
      </c>
      <c r="I95">
        <f>'raw data'!J98*$Q$2</f>
        <v>21989.982558070904</v>
      </c>
      <c r="J95">
        <f>'raw data'!K98*$R$2</f>
        <v>22539.418000000001</v>
      </c>
      <c r="K95">
        <f>'raw data'!L98*$R$2</f>
        <v>22227.57</v>
      </c>
      <c r="L95">
        <f>'raw data'!M98*$R$2</f>
        <v>22580.499</v>
      </c>
      <c r="M95">
        <f>'raw data'!N98*$R$2</f>
        <v>22333.112389999998</v>
      </c>
    </row>
    <row r="96" spans="1:13" x14ac:dyDescent="0.25">
      <c r="A96" s="10">
        <v>45108</v>
      </c>
      <c r="E96">
        <f>'raw data'!F99*$P$2</f>
        <v>22613.225856174533</v>
      </c>
      <c r="I96">
        <f>'raw data'!J99*$Q$2</f>
        <v>22096.369464551128</v>
      </c>
      <c r="J96">
        <f>'raw data'!K99*$R$2</f>
        <v>22780.933000000001</v>
      </c>
      <c r="K96">
        <f>'raw data'!L99*$R$2</f>
        <v>22338.77</v>
      </c>
      <c r="L96">
        <f>'raw data'!M99*$R$2</f>
        <v>22840.989000000001</v>
      </c>
      <c r="M96">
        <f>'raw data'!N99*$R$2</f>
        <v>22459.740679999999</v>
      </c>
    </row>
    <row r="97" spans="1:13" x14ac:dyDescent="0.25">
      <c r="A97" s="10">
        <v>45200</v>
      </c>
      <c r="E97">
        <f>'raw data'!F100*$P$2</f>
        <v>22730.209118036473</v>
      </c>
      <c r="I97">
        <f>'raw data'!J100*$Q$2</f>
        <v>22203.239264998632</v>
      </c>
      <c r="J97">
        <f>'raw data'!K100*$R$2</f>
        <v>22960.6</v>
      </c>
      <c r="K97">
        <f>'raw data'!L100*$R$2</f>
        <v>22452.06</v>
      </c>
      <c r="L97">
        <f>'raw data'!M100*$R$2</f>
        <v>23033.78</v>
      </c>
      <c r="M97">
        <f>'raw data'!N100*$R$2</f>
        <v>22588.184590000001</v>
      </c>
    </row>
    <row r="98" spans="1:13" x14ac:dyDescent="0.25">
      <c r="A98" s="10">
        <v>45292</v>
      </c>
      <c r="E98">
        <f>'raw data'!F101*$P$2</f>
        <v>22847.531134517714</v>
      </c>
      <c r="I98">
        <f>'raw data'!J101*$Q$2</f>
        <v>22310.549035505213</v>
      </c>
      <c r="J98">
        <f>'raw data'!K101*$R$2</f>
        <v>23053.544999999998</v>
      </c>
      <c r="K98">
        <f>'raw data'!L101*$R$2</f>
        <v>22566.61</v>
      </c>
      <c r="L98">
        <f>'raw data'!M101*$R$2</f>
        <v>23082.118999999999</v>
      </c>
      <c r="M98">
        <f>'raw data'!N101*$R$2</f>
        <v>22718.13</v>
      </c>
    </row>
    <row r="99" spans="1:13" x14ac:dyDescent="0.25">
      <c r="A99" s="10">
        <v>45383</v>
      </c>
      <c r="E99">
        <f>'raw data'!F102*$P$2</f>
        <v>22965.869414856821</v>
      </c>
      <c r="I99">
        <f>'raw data'!J102*$Q$2</f>
        <v>22417.526145723223</v>
      </c>
      <c r="J99">
        <f>'raw data'!K102*$R$2</f>
        <v>23223.905999999999</v>
      </c>
      <c r="K99">
        <f>'raw data'!L102*$R$2</f>
        <v>22682.66</v>
      </c>
      <c r="L99">
        <f>'raw data'!M102*$R$2</f>
        <v>23286.508000000002</v>
      </c>
      <c r="M99">
        <f>'raw data'!N102*$R$2</f>
        <v>22849.87</v>
      </c>
    </row>
    <row r="100" spans="1:13" x14ac:dyDescent="0.25">
      <c r="A100" s="10">
        <v>45474</v>
      </c>
      <c r="E100">
        <f>'raw data'!F103*$P$2</f>
        <v>23084.659368021654</v>
      </c>
      <c r="I100">
        <f>'raw data'!J103*$Q$2</f>
        <v>22524.288636400222</v>
      </c>
      <c r="J100">
        <f>'raw data'!K103*$R$2</f>
        <v>23386.248</v>
      </c>
      <c r="K100">
        <f>'raw data'!L103*$R$2</f>
        <v>22800.63</v>
      </c>
      <c r="L100">
        <f>'raw data'!M103*$R$2</f>
        <v>23478.57</v>
      </c>
      <c r="M100">
        <f>'raw data'!N103*$R$2</f>
        <v>22981.32</v>
      </c>
    </row>
    <row r="101" spans="1:13" x14ac:dyDescent="0.25">
      <c r="A101" s="10">
        <v>45566</v>
      </c>
      <c r="E101">
        <f>'raw data'!F104*$P$2</f>
        <v>23203.675157599344</v>
      </c>
      <c r="I101">
        <f>'raw data'!J104*$Q$2</f>
        <v>22630.847238513255</v>
      </c>
      <c r="K101">
        <f>'raw data'!L104*$R$2</f>
        <v>22920.27</v>
      </c>
      <c r="L101">
        <f>'raw data'!M104*$R$2</f>
        <v>23586.542000000001</v>
      </c>
      <c r="M101">
        <f>'raw data'!N104*$R$2</f>
        <v>23113.34</v>
      </c>
    </row>
    <row r="102" spans="1:13" x14ac:dyDescent="0.25">
      <c r="A102" s="10">
        <v>45658</v>
      </c>
      <c r="E102">
        <f>'raw data'!F105*$P$2</f>
        <v>23323.142620002764</v>
      </c>
      <c r="I102">
        <f>'raw data'!J105*$Q$2</f>
        <v>22737.159028154128</v>
      </c>
      <c r="K102">
        <f>'raw data'!L105*$R$2</f>
        <v>23041.94</v>
      </c>
      <c r="L102">
        <f>'raw data'!M105*$R$2</f>
        <v>23548.21</v>
      </c>
      <c r="M102">
        <f>'raw data'!N105*$R$2</f>
        <v>23243.22</v>
      </c>
    </row>
    <row r="103" spans="1:13" x14ac:dyDescent="0.25">
      <c r="A103" s="10">
        <v>45748</v>
      </c>
      <c r="E103">
        <f>'raw data'!F106*$P$2</f>
        <v>23441.706736754735</v>
      </c>
      <c r="I103">
        <f>'raw data'!J106*$Q$2</f>
        <v>22843.138157506426</v>
      </c>
      <c r="K103">
        <f>'raw data'!L106*$R$2</f>
        <v>23164.48</v>
      </c>
      <c r="L103">
        <f>'raw data'!M106*$R$2</f>
        <v>23770.975999999999</v>
      </c>
      <c r="M103">
        <f>'raw data'!N106*$R$2</f>
        <v>23376.07</v>
      </c>
    </row>
    <row r="104" spans="1:13" x14ac:dyDescent="0.25">
      <c r="A104" s="10">
        <v>45839</v>
      </c>
      <c r="E104">
        <f>'raw data'!F107*$P$2</f>
        <v>23560.383771713136</v>
      </c>
      <c r="I104">
        <f>'raw data'!J107*$Q$2</f>
        <v>22949.160210766931</v>
      </c>
      <c r="K104">
        <f>'raw data'!L107*$R$2</f>
        <v>23288.28</v>
      </c>
      <c r="M104">
        <f>'raw data'!N107*$R$2</f>
        <v>23510.18</v>
      </c>
    </row>
    <row r="105" spans="1:13" x14ac:dyDescent="0.25">
      <c r="A105" s="10">
        <v>45931</v>
      </c>
      <c r="E105">
        <f>'raw data'!F108*$P$2</f>
        <v>23679.173724877968</v>
      </c>
      <c r="I105">
        <f>'raw data'!J108*$Q$2</f>
        <v>23055.117878165125</v>
      </c>
      <c r="K105">
        <f>'raw data'!L108*$R$2</f>
        <v>23413.13</v>
      </c>
      <c r="M105">
        <f>'raw data'!N108*$R$2</f>
        <v>23644.63</v>
      </c>
    </row>
    <row r="106" spans="1:13" x14ac:dyDescent="0.25">
      <c r="A106" s="10">
        <v>46023</v>
      </c>
      <c r="I106">
        <f>'raw data'!J109*$Q$2</f>
        <v>23160.968235792818</v>
      </c>
      <c r="K106">
        <f>'raw data'!L109*$R$2</f>
        <v>23537.99</v>
      </c>
      <c r="M106">
        <f>'raw data'!N109*$R$2</f>
        <v>23778.89</v>
      </c>
    </row>
    <row r="107" spans="1:13" x14ac:dyDescent="0.25">
      <c r="A107" s="10">
        <v>46113</v>
      </c>
      <c r="I107">
        <f>'raw data'!J110*$Q$2</f>
        <v>23266.389354338484</v>
      </c>
      <c r="K107">
        <f>'raw data'!L110*$R$2</f>
        <v>23662.93</v>
      </c>
      <c r="M107">
        <f>'raw data'!N110*$R$2</f>
        <v>23912.77</v>
      </c>
    </row>
    <row r="108" spans="1:13" x14ac:dyDescent="0.25">
      <c r="A108" s="10">
        <v>46204</v>
      </c>
      <c r="I108">
        <f>'raw data'!J111*$Q$2</f>
        <v>23371.510005526728</v>
      </c>
      <c r="K108">
        <f>'raw data'!L111*$R$2</f>
        <v>23787.67</v>
      </c>
      <c r="M108">
        <f>'raw data'!N111*$R$2</f>
        <v>24046.37</v>
      </c>
    </row>
    <row r="109" spans="1:13" x14ac:dyDescent="0.25">
      <c r="A109" s="10">
        <v>46296</v>
      </c>
      <c r="I109">
        <f>'raw data'!J112*$Q$2</f>
        <v>23476.544808898572</v>
      </c>
      <c r="K109">
        <f>'raw data'!L112*$R$2</f>
        <v>23912.240000000002</v>
      </c>
      <c r="M109">
        <f>'raw data'!N112*$R$2</f>
        <v>24179.8</v>
      </c>
    </row>
    <row r="110" spans="1:13" x14ac:dyDescent="0.25">
      <c r="A110" s="10">
        <v>46388</v>
      </c>
      <c r="I110">
        <f>'raw data'!J113*$Q$2</f>
        <v>23581.568881293362</v>
      </c>
      <c r="K110">
        <f>'raw data'!L113*$R$2</f>
        <v>24037.13</v>
      </c>
      <c r="M110">
        <f>'raw data'!N113*$R$2</f>
        <v>24312.91</v>
      </c>
    </row>
    <row r="111" spans="1:13" x14ac:dyDescent="0.25">
      <c r="A111" s="10">
        <v>46478</v>
      </c>
      <c r="I111">
        <f>'raw data'!J114*$Q$2</f>
        <v>23686.324679261885</v>
      </c>
      <c r="K111">
        <f>'raw data'!L114*$R$2</f>
        <v>24160.85</v>
      </c>
      <c r="M111">
        <f>'raw data'!N114*$R$2</f>
        <v>24445.5</v>
      </c>
    </row>
    <row r="112" spans="1:13" x14ac:dyDescent="0.25">
      <c r="A112" s="10">
        <v>46569</v>
      </c>
      <c r="I112">
        <f>'raw data'!J115*$Q$2</f>
        <v>23791.026822345157</v>
      </c>
      <c r="K112">
        <f>'raw data'!L115*$R$2</f>
        <v>24284.17</v>
      </c>
      <c r="M112">
        <f>'raw data'!N115*$R$2</f>
        <v>24577.97</v>
      </c>
    </row>
    <row r="113" spans="1:13" x14ac:dyDescent="0.25">
      <c r="A113" s="10">
        <v>46661</v>
      </c>
      <c r="I113">
        <f>'raw data'!J116*$Q$2</f>
        <v>23895.847006175984</v>
      </c>
      <c r="K113">
        <f>'raw data'!L116*$R$2</f>
        <v>24407.17</v>
      </c>
      <c r="M113">
        <f>'raw data'!N116*$R$2</f>
        <v>24710.19</v>
      </c>
    </row>
    <row r="114" spans="1:13" x14ac:dyDescent="0.25">
      <c r="A114" s="10">
        <v>46753</v>
      </c>
      <c r="I114">
        <f>'raw data'!J117*$Q$2</f>
        <v>24000.881809547827</v>
      </c>
      <c r="K114">
        <f>'raw data'!L117*$R$2</f>
        <v>24529.51</v>
      </c>
      <c r="M114">
        <f>'raw data'!N117*$R$2</f>
        <v>24842.2</v>
      </c>
    </row>
    <row r="115" spans="1:13" x14ac:dyDescent="0.25">
      <c r="A115" s="10">
        <v>46844</v>
      </c>
      <c r="I115">
        <f>'raw data'!J118*$Q$2</f>
        <v>24106.506816657457</v>
      </c>
      <c r="K115">
        <f>'raw data'!L118*$R$2</f>
        <v>24652.77</v>
      </c>
      <c r="M115">
        <f>'raw data'!N118*$R$2</f>
        <v>24974.37</v>
      </c>
    </row>
    <row r="116" spans="1:13" x14ac:dyDescent="0.25">
      <c r="A116" s="10">
        <v>46935</v>
      </c>
      <c r="I116">
        <f>'raw data'!J119*$Q$2</f>
        <v>24212.593255780263</v>
      </c>
      <c r="K116">
        <f>'raw data'!L119*$R$2</f>
        <v>24776.37</v>
      </c>
      <c r="M116">
        <f>'raw data'!N119*$R$2</f>
        <v>25106.47</v>
      </c>
    </row>
    <row r="117" spans="1:13" x14ac:dyDescent="0.25">
      <c r="A117" s="10">
        <v>47027</v>
      </c>
      <c r="I117">
        <f>'raw data'!J120*$Q$2</f>
        <v>24319.302091572004</v>
      </c>
      <c r="K117">
        <f>'raw data'!L120*$R$2</f>
        <v>24900.25</v>
      </c>
      <c r="M117">
        <f>'raw data'!N120*$R$2</f>
        <v>25238.27</v>
      </c>
    </row>
    <row r="118" spans="1:13" x14ac:dyDescent="0.25">
      <c r="A118" s="10">
        <v>47119</v>
      </c>
      <c r="I118">
        <f>'raw data'!J121*$Q$2</f>
        <v>24426.68697891794</v>
      </c>
      <c r="K118">
        <f>'raw data'!L121*$R$2</f>
        <v>25024.240000000002</v>
      </c>
      <c r="M118">
        <f>'raw data'!N121*$R$2</f>
        <v>25369.759999999998</v>
      </c>
    </row>
    <row r="119" spans="1:13" x14ac:dyDescent="0.25">
      <c r="A119" s="10">
        <v>47209</v>
      </c>
      <c r="I119">
        <f>'raw data'!J122*$Q$2</f>
        <v>24534.78011074922</v>
      </c>
      <c r="K119">
        <f>'raw data'!L122*$R$2</f>
        <v>25148.48</v>
      </c>
      <c r="M119">
        <f>'raw data'!N122*$R$2</f>
        <v>25500.89</v>
      </c>
    </row>
    <row r="120" spans="1:13" x14ac:dyDescent="0.25">
      <c r="A120" s="10">
        <v>47300</v>
      </c>
      <c r="I120">
        <f>'raw data'!J123*$Q$2</f>
        <v>24642.905435511653</v>
      </c>
      <c r="K120">
        <f>'raw data'!L123*$R$2</f>
        <v>25272.42</v>
      </c>
      <c r="M120">
        <f>'raw data'!N123*$R$2</f>
        <v>25631.06</v>
      </c>
    </row>
    <row r="121" spans="1:13" x14ac:dyDescent="0.25">
      <c r="A121" s="10">
        <v>47392</v>
      </c>
      <c r="I121">
        <f>'raw data'!J124*$Q$2</f>
        <v>24751.073684182287</v>
      </c>
      <c r="K121">
        <f>'raw data'!L124*$R$2</f>
        <v>25395.75</v>
      </c>
      <c r="M121">
        <f>'raw data'!N124*$R$2</f>
        <v>25760.37</v>
      </c>
    </row>
    <row r="122" spans="1:13" x14ac:dyDescent="0.25">
      <c r="A122" s="10">
        <v>47484</v>
      </c>
      <c r="I122">
        <f>'raw data'!J125*$Q$2</f>
        <v>24859.359973600476</v>
      </c>
      <c r="K122">
        <f>'raw data'!L125*$R$2</f>
        <v>25518.42</v>
      </c>
      <c r="M122">
        <f>'raw data'!N125*$R$2</f>
        <v>25888.959999999999</v>
      </c>
    </row>
    <row r="123" spans="1:13" x14ac:dyDescent="0.25">
      <c r="A123" s="10">
        <v>47574</v>
      </c>
      <c r="I123">
        <f>'raw data'!J126*$Q$2</f>
        <v>24967.850151582632</v>
      </c>
      <c r="K123">
        <f>'raw data'!L126*$R$2</f>
        <v>25640.5</v>
      </c>
      <c r="M123">
        <f>'raw data'!N126*$R$2</f>
        <v>26016.78</v>
      </c>
    </row>
    <row r="124" spans="1:13" x14ac:dyDescent="0.25">
      <c r="A124" s="10">
        <v>47665</v>
      </c>
      <c r="I124">
        <f>'raw data'!J127*$Q$2</f>
        <v>25076.479832266443</v>
      </c>
      <c r="K124">
        <f>'raw data'!L127*$R$2</f>
        <v>25762.3</v>
      </c>
      <c r="M124">
        <f>'raw data'!N127*$R$2</f>
        <v>26143.919999999998</v>
      </c>
    </row>
    <row r="125" spans="1:13" x14ac:dyDescent="0.25">
      <c r="A125" s="10">
        <v>47757</v>
      </c>
      <c r="I125">
        <f>'raw data'!J128*$Q$2</f>
        <v>25185.238284674862</v>
      </c>
      <c r="K125">
        <f>'raw data'!L128*$R$2</f>
        <v>25883.919999999998</v>
      </c>
      <c r="M125">
        <f>'raw data'!N128*$R$2</f>
        <v>26270.55</v>
      </c>
    </row>
    <row r="126" spans="1:13" x14ac:dyDescent="0.25">
      <c r="A126" s="10">
        <v>47849</v>
      </c>
      <c r="I126">
        <f>'raw data'!J129*$Q$2</f>
        <v>25294.200625647245</v>
      </c>
      <c r="K126">
        <f>'raw data'!L129*$R$2</f>
        <v>26005.13</v>
      </c>
      <c r="M126">
        <f>'raw data'!N129*$R$2</f>
        <v>26396.94</v>
      </c>
    </row>
    <row r="127" spans="1:13" x14ac:dyDescent="0.25">
      <c r="A127" s="10">
        <v>47939</v>
      </c>
      <c r="I127">
        <f>'raw data'!J130*$Q$2</f>
        <v>25403.345393229487</v>
      </c>
      <c r="K127">
        <f>'raw data'!L130*$R$2</f>
        <v>26126.15</v>
      </c>
      <c r="M127">
        <f>'raw data'!N130*$R$2</f>
        <v>26523.07</v>
      </c>
    </row>
    <row r="128" spans="1:13" x14ac:dyDescent="0.25">
      <c r="A128" s="10">
        <v>48030</v>
      </c>
      <c r="I128">
        <f>'raw data'!J131*$Q$2</f>
        <v>25512.629663513391</v>
      </c>
      <c r="K128">
        <f>'raw data'!L131*$R$2</f>
        <v>26246.97</v>
      </c>
      <c r="M128">
        <f>'raw data'!N131*$R$2</f>
        <v>26648.83</v>
      </c>
    </row>
    <row r="129" spans="1:13" x14ac:dyDescent="0.25">
      <c r="A129" s="10">
        <v>48122</v>
      </c>
      <c r="I129">
        <f>'raw data'!J132*$Q$2</f>
        <v>25622.074898453055</v>
      </c>
      <c r="K129">
        <f>'raw data'!L132*$R$2</f>
        <v>26367.56</v>
      </c>
      <c r="M129">
        <f>'raw data'!N132*$R$2</f>
        <v>26774.35</v>
      </c>
    </row>
    <row r="130" spans="1:13" x14ac:dyDescent="0.25">
      <c r="A130" s="10">
        <v>48214</v>
      </c>
      <c r="I130">
        <f>'raw data'!J133*$Q$2</f>
        <v>25731.734752933728</v>
      </c>
      <c r="K130">
        <f>'raw data'!L133*$R$2</f>
        <v>26487.91</v>
      </c>
      <c r="M130">
        <f>'raw data'!N133*$R$2</f>
        <v>26899.74</v>
      </c>
    </row>
    <row r="131" spans="1:13" x14ac:dyDescent="0.25">
      <c r="A131" s="10">
        <v>48305</v>
      </c>
      <c r="I131">
        <f>'raw data'!J134*$Q$2</f>
        <v>25841.609226955417</v>
      </c>
      <c r="K131">
        <f>'raw data'!L134*$R$2</f>
        <v>26608.15</v>
      </c>
      <c r="M131">
        <f>'raw data'!N134*$R$2</f>
        <v>27024.61</v>
      </c>
    </row>
    <row r="132" spans="1:13" x14ac:dyDescent="0.25">
      <c r="A132" s="10">
        <v>48396</v>
      </c>
      <c r="I132">
        <f>'raw data'!J135*$Q$2</f>
        <v>25951.483700977104</v>
      </c>
      <c r="K132">
        <f>'raw data'!L135*$R$2</f>
        <v>26728.19</v>
      </c>
      <c r="M132">
        <f>'raw data'!N135*$R$2</f>
        <v>27148.95</v>
      </c>
    </row>
    <row r="133" spans="1:13" x14ac:dyDescent="0.25">
      <c r="A133" s="10">
        <v>48488</v>
      </c>
      <c r="I133">
        <f>'raw data'!J136*$Q$2</f>
        <v>26061.325982067639</v>
      </c>
      <c r="K133">
        <f>'raw data'!L136*$R$2</f>
        <v>26848.01</v>
      </c>
      <c r="M133">
        <f>'raw data'!N136*$R$2</f>
        <v>27273.05</v>
      </c>
    </row>
    <row r="134" spans="1:13" x14ac:dyDescent="0.25">
      <c r="A134" s="10">
        <v>48580</v>
      </c>
      <c r="K134">
        <f>'raw data'!L137*$R$2</f>
        <v>26967.67</v>
      </c>
      <c r="M134">
        <f>'raw data'!N137*$R$2</f>
        <v>27395.759999999998</v>
      </c>
    </row>
    <row r="135" spans="1:13" x14ac:dyDescent="0.25">
      <c r="A135" s="10">
        <v>48670</v>
      </c>
      <c r="K135">
        <f>'raw data'!L138*$R$2</f>
        <v>27087.21</v>
      </c>
      <c r="M135">
        <f>'raw data'!N138*$R$2</f>
        <v>27520.11</v>
      </c>
    </row>
    <row r="136" spans="1:13" x14ac:dyDescent="0.25">
      <c r="A136" s="10">
        <v>48761</v>
      </c>
      <c r="K136">
        <f>'raw data'!L139*$R$2</f>
        <v>27206.7</v>
      </c>
      <c r="M136">
        <f>'raw data'!N139*$R$2</f>
        <v>27644.47</v>
      </c>
    </row>
    <row r="137" spans="1:13" x14ac:dyDescent="0.25">
      <c r="A137" s="10">
        <v>48853</v>
      </c>
      <c r="K137">
        <f>'raw data'!L140*$R$2</f>
        <v>27326.18</v>
      </c>
      <c r="M137">
        <f>'raw data'!N140*$R$2</f>
        <v>27768.74</v>
      </c>
    </row>
    <row r="138" spans="1:13" x14ac:dyDescent="0.25">
      <c r="A138" s="10">
        <v>48945</v>
      </c>
      <c r="K138">
        <f>'raw data'!L141*$R$2</f>
        <v>27445.78</v>
      </c>
      <c r="M138">
        <f>'raw data'!N141*$R$2</f>
        <v>27892.720000000001</v>
      </c>
    </row>
    <row r="139" spans="1:13" x14ac:dyDescent="0.25">
      <c r="A139" s="10">
        <v>49035</v>
      </c>
      <c r="K139">
        <f>'raw data'!L142*$R$2</f>
        <v>27565.360000000001</v>
      </c>
      <c r="M139">
        <f>'raw data'!N142*$R$2</f>
        <v>28016.45</v>
      </c>
    </row>
    <row r="140" spans="1:13" x14ac:dyDescent="0.25">
      <c r="A140" s="10">
        <v>49126</v>
      </c>
      <c r="K140">
        <f>'raw data'!L143*$R$2</f>
        <v>27684.89</v>
      </c>
      <c r="M140">
        <f>'raw data'!N143*$R$2</f>
        <v>28140.02</v>
      </c>
    </row>
    <row r="141" spans="1:13" x14ac:dyDescent="0.25">
      <c r="A141" s="10">
        <v>49218</v>
      </c>
      <c r="K141">
        <f>'raw data'!L144*$R$2</f>
        <v>27804.37</v>
      </c>
      <c r="M141">
        <f>'raw data'!N144*$R$2</f>
        <v>28263.47</v>
      </c>
    </row>
    <row r="142" spans="1:13" x14ac:dyDescent="0.25">
      <c r="A142" s="10">
        <v>49310</v>
      </c>
      <c r="M142">
        <f>'raw data'!N145*$R$2</f>
        <v>28387.01</v>
      </c>
    </row>
    <row r="143" spans="1:13" x14ac:dyDescent="0.25">
      <c r="A143" s="10">
        <v>49400</v>
      </c>
      <c r="M143">
        <f>'raw data'!N146*$R$2</f>
        <v>28510.69</v>
      </c>
    </row>
    <row r="144" spans="1:13" x14ac:dyDescent="0.25">
      <c r="A144" s="10">
        <v>49491</v>
      </c>
      <c r="M144">
        <f>'raw data'!N147*$R$2</f>
        <v>28634.31</v>
      </c>
    </row>
    <row r="145" spans="1:13" x14ac:dyDescent="0.25">
      <c r="A145" s="10">
        <v>49583</v>
      </c>
      <c r="M145">
        <f>'raw data'!N148*$R$2</f>
        <v>28757.74</v>
      </c>
    </row>
    <row r="146" spans="1:13" x14ac:dyDescent="0.25">
      <c r="A146" s="10">
        <v>49675</v>
      </c>
    </row>
    <row r="147" spans="1:13" x14ac:dyDescent="0.25">
      <c r="A147" s="10">
        <v>49766</v>
      </c>
    </row>
    <row r="148" spans="1:13" x14ac:dyDescent="0.25">
      <c r="A148" s="10">
        <v>49857</v>
      </c>
    </row>
    <row r="149" spans="1:13" x14ac:dyDescent="0.25">
      <c r="A149" s="10">
        <v>49949</v>
      </c>
    </row>
    <row r="150" spans="1:13" x14ac:dyDescent="0.25">
      <c r="A150" s="10">
        <v>50041</v>
      </c>
    </row>
    <row r="151" spans="1:13" x14ac:dyDescent="0.25">
      <c r="A151" s="10">
        <v>50131</v>
      </c>
    </row>
    <row r="152" spans="1:13" x14ac:dyDescent="0.25">
      <c r="A152" s="10">
        <v>50222</v>
      </c>
    </row>
    <row r="153" spans="1:13" x14ac:dyDescent="0.25">
      <c r="A153" s="10">
        <v>50314</v>
      </c>
    </row>
    <row r="154" spans="1:13" x14ac:dyDescent="0.25">
      <c r="A154" s="10">
        <v>50406</v>
      </c>
    </row>
    <row r="155" spans="1:13" x14ac:dyDescent="0.25">
      <c r="A155" s="10">
        <v>50496</v>
      </c>
    </row>
    <row r="156" spans="1:13" x14ac:dyDescent="0.25">
      <c r="A156" s="10">
        <v>50587</v>
      </c>
    </row>
    <row r="157" spans="1:13" x14ac:dyDescent="0.25">
      <c r="A157" s="10">
        <v>50679</v>
      </c>
    </row>
    <row r="158" spans="1:13" x14ac:dyDescent="0.25">
      <c r="A158" s="10">
        <v>50771</v>
      </c>
    </row>
    <row r="159" spans="1:13" x14ac:dyDescent="0.25">
      <c r="A159" s="10">
        <v>50861</v>
      </c>
    </row>
    <row r="160" spans="1:13" x14ac:dyDescent="0.25">
      <c r="A160" s="10">
        <v>50952</v>
      </c>
    </row>
    <row r="161" spans="1:1" x14ac:dyDescent="0.25">
      <c r="A161" s="10">
        <v>51044</v>
      </c>
    </row>
    <row r="162" spans="1:1" x14ac:dyDescent="0.25">
      <c r="A162" s="10">
        <v>51136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95A3-7E14-40FE-9CBF-01F8083EF4F5}">
  <dimension ref="A1:K137"/>
  <sheetViews>
    <sheetView workbookViewId="0"/>
  </sheetViews>
  <sheetFormatPr defaultRowHeight="13.2" x14ac:dyDescent="0.25"/>
  <sheetData>
    <row r="1" spans="1:11" s="14" customFormat="1" x14ac:dyDescent="0.25">
      <c r="A1" s="14" t="s">
        <v>9</v>
      </c>
      <c r="B1" s="14" t="s">
        <v>22</v>
      </c>
      <c r="C1" s="14" t="s">
        <v>21</v>
      </c>
      <c r="D1" s="14" t="s">
        <v>24</v>
      </c>
      <c r="E1" s="14" t="s">
        <v>23</v>
      </c>
      <c r="F1" s="14" t="s">
        <v>26</v>
      </c>
      <c r="G1" s="14" t="s">
        <v>25</v>
      </c>
      <c r="H1" s="14" t="s">
        <v>27</v>
      </c>
      <c r="I1" s="14" t="s">
        <v>28</v>
      </c>
      <c r="J1" s="18" t="s">
        <v>48</v>
      </c>
      <c r="K1" s="18" t="s">
        <v>49</v>
      </c>
    </row>
    <row r="2" spans="1:11" x14ac:dyDescent="0.25">
      <c r="A2" s="10">
        <v>36526</v>
      </c>
      <c r="B2">
        <f>'raw data'!C5*$J$2</f>
        <v>13005.03578105194</v>
      </c>
      <c r="C2">
        <f>'raw data'!D5*$J$2</f>
        <v>12692.408151972919</v>
      </c>
      <c r="D2">
        <f>'raw data'!E5*$J$2</f>
        <v>13005.03578105194</v>
      </c>
      <c r="E2">
        <f>'raw data'!F5*$J$2</f>
        <v>12757.33283966789</v>
      </c>
      <c r="F2">
        <f>'raw data'!G5*$J$2</f>
        <v>13005.03578105194</v>
      </c>
      <c r="G2">
        <f>'raw data'!H5*$J$2</f>
        <v>12770.801818638645</v>
      </c>
      <c r="H2">
        <f>'raw data'!I5*$K$2</f>
        <v>12935.252</v>
      </c>
      <c r="I2">
        <f>'raw data'!J5*$K$2</f>
        <v>12756.197799291815</v>
      </c>
      <c r="J2">
        <f>deflator_2012_2009</f>
        <v>1.0522639820902768</v>
      </c>
      <c r="K2">
        <v>1</v>
      </c>
    </row>
    <row r="3" spans="1:11" x14ac:dyDescent="0.25">
      <c r="A3" s="10">
        <v>36617</v>
      </c>
      <c r="B3">
        <f>'raw data'!C6*$J$2</f>
        <v>13250.634194471811</v>
      </c>
      <c r="C3">
        <f>'raw data'!D6*$J$2</f>
        <v>12807.315378817178</v>
      </c>
      <c r="D3">
        <f>'raw data'!E6*$J$2</f>
        <v>13250.634194471811</v>
      </c>
      <c r="E3">
        <f>'raw data'!F6*$J$2</f>
        <v>12871.608708122892</v>
      </c>
      <c r="F3">
        <f>'raw data'!G6*$J$2</f>
        <v>13250.634194471811</v>
      </c>
      <c r="G3">
        <f>'raw data'!H6*$J$2</f>
        <v>12883.70974391693</v>
      </c>
      <c r="H3">
        <f>'raw data'!I6*$K$2</f>
        <v>13170.749</v>
      </c>
      <c r="I3">
        <f>'raw data'!J6*$K$2</f>
        <v>12885.549542919041</v>
      </c>
    </row>
    <row r="4" spans="1:11" x14ac:dyDescent="0.25">
      <c r="A4" s="10">
        <v>36708</v>
      </c>
      <c r="B4">
        <f>'raw data'!C7*$J$2</f>
        <v>13266.628606999584</v>
      </c>
      <c r="C4">
        <f>'raw data'!D7*$J$2</f>
        <v>12923.695775236361</v>
      </c>
      <c r="D4">
        <f>'raw data'!E7*$J$2</f>
        <v>13266.628606999584</v>
      </c>
      <c r="E4">
        <f>'raw data'!F7*$J$2</f>
        <v>12988.094330940286</v>
      </c>
      <c r="F4">
        <f>'raw data'!G7*$J$2</f>
        <v>13266.628606999584</v>
      </c>
      <c r="G4">
        <f>'raw data'!H7*$J$2</f>
        <v>12998.406517964771</v>
      </c>
      <c r="H4">
        <f>'raw data'!I7*$K$2</f>
        <v>13183.89</v>
      </c>
      <c r="I4">
        <f>'raw data'!J7*$K$2</f>
        <v>13010.047124107925</v>
      </c>
    </row>
    <row r="5" spans="1:11" x14ac:dyDescent="0.25">
      <c r="A5" s="10">
        <v>36800</v>
      </c>
      <c r="B5">
        <f>'raw data'!C8*$J$2</f>
        <v>13341.970708117246</v>
      </c>
      <c r="C5">
        <f>'raw data'!D8*$J$2</f>
        <v>13041.128435637636</v>
      </c>
      <c r="D5">
        <f>'raw data'!E8*$J$2</f>
        <v>13341.970708117246</v>
      </c>
      <c r="E5">
        <f>'raw data'!F8*$J$2</f>
        <v>13106.368802527233</v>
      </c>
      <c r="F5">
        <f>'raw data'!G8*$J$2</f>
        <v>13341.970708117246</v>
      </c>
      <c r="G5">
        <f>'raw data'!H8*$J$2</f>
        <v>13114.57646158754</v>
      </c>
      <c r="H5">
        <f>'raw data'!I8*$K$2</f>
        <v>13262.25</v>
      </c>
      <c r="I5">
        <f>'raw data'!J8*$K$2</f>
        <v>13129.144768063294</v>
      </c>
    </row>
    <row r="6" spans="1:11" x14ac:dyDescent="0.25">
      <c r="A6" s="10">
        <v>36892</v>
      </c>
      <c r="B6">
        <f>'raw data'!C9*$J$2</f>
        <v>13304.089204761996</v>
      </c>
      <c r="C6">
        <f>'raw data'!D9*$J$2</f>
        <v>13159.508133622792</v>
      </c>
      <c r="D6">
        <f>'raw data'!E9*$J$2</f>
        <v>13304.089204761996</v>
      </c>
      <c r="E6">
        <f>'raw data'!F9*$J$2</f>
        <v>13227.273934069406</v>
      </c>
      <c r="F6">
        <f>'raw data'!G9*$J$2</f>
        <v>13304.089204761996</v>
      </c>
      <c r="G6">
        <f>'raw data'!H9*$J$2</f>
        <v>13233.48229156374</v>
      </c>
      <c r="H6">
        <f>'raw data'!I9*$K$2</f>
        <v>13219.251</v>
      </c>
      <c r="I6">
        <f>'raw data'!J9*$K$2</f>
        <v>13242.626114221135</v>
      </c>
    </row>
    <row r="7" spans="1:11" x14ac:dyDescent="0.25">
      <c r="A7" s="10">
        <v>36982</v>
      </c>
      <c r="B7">
        <f>'raw data'!C10*$J$2</f>
        <v>13374.590891562044</v>
      </c>
      <c r="C7">
        <f>'raw data'!D10*$J$2</f>
        <v>13277.782605209739</v>
      </c>
      <c r="D7">
        <f>'raw data'!E10*$J$2</f>
        <v>13374.590891562044</v>
      </c>
      <c r="E7">
        <f>'raw data'!F10*$J$2</f>
        <v>13347.652933620535</v>
      </c>
      <c r="F7">
        <f>'raw data'!G10*$J$2</f>
        <v>13374.590891562044</v>
      </c>
      <c r="G7">
        <f>'raw data'!H10*$J$2</f>
        <v>13352.177668743523</v>
      </c>
      <c r="H7">
        <f>'raw data'!I10*$K$2</f>
        <v>13301.394</v>
      </c>
      <c r="I7">
        <f>'raw data'!J10*$K$2</f>
        <v>13350.399770501921</v>
      </c>
    </row>
    <row r="8" spans="1:11" x14ac:dyDescent="0.25">
      <c r="A8" s="10">
        <v>37073</v>
      </c>
      <c r="B8">
        <f>'raw data'!C11*$J$2</f>
        <v>13332.289879482018</v>
      </c>
      <c r="C8">
        <f>'raw data'!D11*$J$2</f>
        <v>13395.74139760206</v>
      </c>
      <c r="D8">
        <f>'raw data'!E11*$J$2</f>
        <v>13332.289879482018</v>
      </c>
      <c r="E8">
        <f>'raw data'!F11*$J$2</f>
        <v>13467.190121985988</v>
      </c>
      <c r="F8">
        <f>'raw data'!G11*$J$2</f>
        <v>13332.289879482018</v>
      </c>
      <c r="G8">
        <f>'raw data'!H11*$J$2</f>
        <v>13470.136461135842</v>
      </c>
      <c r="H8">
        <f>'raw data'!I11*$K$2</f>
        <v>13248.142</v>
      </c>
      <c r="I8">
        <f>'raw data'!J11*$K$2</f>
        <v>13452.504389530579</v>
      </c>
    </row>
    <row r="9" spans="1:11" x14ac:dyDescent="0.25">
      <c r="A9" s="10">
        <v>37165</v>
      </c>
      <c r="B9">
        <f>'raw data'!C12*$J$2</f>
        <v>13369.329571651593</v>
      </c>
      <c r="C9">
        <f>'raw data'!D12*$J$2</f>
        <v>13512.858378808709</v>
      </c>
      <c r="D9">
        <f>'raw data'!E12*$J$2</f>
        <v>13369.329571651593</v>
      </c>
      <c r="E9">
        <f>'raw data'!F12*$J$2</f>
        <v>13584.938461581893</v>
      </c>
      <c r="F9">
        <f>'raw data'!G12*$J$2</f>
        <v>13369.329571651593</v>
      </c>
      <c r="G9">
        <f>'raw data'!H12*$J$2</f>
        <v>13586.306404758609</v>
      </c>
      <c r="H9">
        <f>'raw data'!I12*$K$2</f>
        <v>13284.880999999999</v>
      </c>
      <c r="I9">
        <f>'raw data'!J12*$K$2</f>
        <v>13549.578308347609</v>
      </c>
    </row>
    <row r="10" spans="1:11" x14ac:dyDescent="0.25">
      <c r="A10" s="10">
        <v>37257</v>
      </c>
      <c r="B10">
        <f>'raw data'!C13*$J$2</f>
        <v>13492.444457556156</v>
      </c>
      <c r="C10">
        <f>'raw data'!D13*$J$2</f>
        <v>13627.34470006013</v>
      </c>
      <c r="D10">
        <f>'raw data'!E13*$J$2</f>
        <v>13492.444457556156</v>
      </c>
      <c r="E10">
        <f>'raw data'!F13*$J$2</f>
        <v>13697.109802072715</v>
      </c>
      <c r="F10">
        <f>'raw data'!G13*$J$2</f>
        <v>13492.444457556156</v>
      </c>
      <c r="G10">
        <f>'raw data'!H13*$J$2</f>
        <v>13697.215028470924</v>
      </c>
      <c r="H10">
        <f>'raw data'!I13*$K$2</f>
        <v>13394.91</v>
      </c>
      <c r="I10">
        <f>'raw data'!J13*$K$2</f>
        <v>13642.026653665946</v>
      </c>
    </row>
    <row r="11" spans="1:11" x14ac:dyDescent="0.25">
      <c r="A11" s="10">
        <v>37347</v>
      </c>
      <c r="B11">
        <f>'raw data'!C14*$J$2</f>
        <v>13566.83952108994</v>
      </c>
      <c r="C11">
        <f>'raw data'!D14*$J$2</f>
        <v>13742.25192690439</v>
      </c>
      <c r="D11">
        <f>'raw data'!E14*$J$2</f>
        <v>13566.83952108994</v>
      </c>
      <c r="E11">
        <f>'raw data'!F14*$J$2</f>
        <v>13807.702746590403</v>
      </c>
      <c r="F11">
        <f>'raw data'!G14*$J$2</f>
        <v>13566.83952108994</v>
      </c>
      <c r="G11">
        <f>'raw data'!H14*$J$2</f>
        <v>13806.440029811896</v>
      </c>
      <c r="H11">
        <f>'raw data'!I14*$K$2</f>
        <v>13477.356</v>
      </c>
      <c r="I11">
        <f>'raw data'!J14*$K$2</f>
        <v>13731.527536916305</v>
      </c>
    </row>
    <row r="12" spans="1:11" x14ac:dyDescent="0.25">
      <c r="A12" s="10">
        <v>37438</v>
      </c>
      <c r="B12">
        <f>'raw data'!C15*$J$2</f>
        <v>13632.921699165208</v>
      </c>
      <c r="C12">
        <f>'raw data'!D15*$J$2</f>
        <v>13855.370304979095</v>
      </c>
      <c r="D12">
        <f>'raw data'!E15*$J$2</f>
        <v>13632.921699165208</v>
      </c>
      <c r="E12">
        <f>'raw data'!F15*$J$2</f>
        <v>13915.559804754657</v>
      </c>
      <c r="F12">
        <f>'raw data'!G15*$J$2</f>
        <v>13632.921699165208</v>
      </c>
      <c r="G12">
        <f>'raw data'!H15*$J$2</f>
        <v>13912.823918401222</v>
      </c>
      <c r="H12">
        <f>'raw data'!I15*$K$2</f>
        <v>13531.741</v>
      </c>
      <c r="I12">
        <f>'raw data'!J15*$K$2</f>
        <v>13819.421745281743</v>
      </c>
    </row>
    <row r="13" spans="1:11" x14ac:dyDescent="0.25">
      <c r="A13" s="10">
        <v>37530</v>
      </c>
      <c r="B13">
        <f>'raw data'!C16*$J$2</f>
        <v>13641.550263818348</v>
      </c>
      <c r="C13">
        <f>'raw data'!D16*$J$2</f>
        <v>13966.384155089618</v>
      </c>
      <c r="D13">
        <f>'raw data'!E16*$J$2</f>
        <v>13641.550263818348</v>
      </c>
      <c r="E13">
        <f>'raw data'!F16*$J$2</f>
        <v>14020.786202963684</v>
      </c>
      <c r="F13">
        <f>'raw data'!G16*$J$2</f>
        <v>13641.550263818348</v>
      </c>
      <c r="G13">
        <f>'raw data'!H16*$J$2</f>
        <v>14016.366694238906</v>
      </c>
      <c r="H13">
        <f>'raw data'!I16*$K$2</f>
        <v>13549.421</v>
      </c>
      <c r="I13">
        <f>'raw data'!J16*$K$2</f>
        <v>13906.073089248501</v>
      </c>
    </row>
    <row r="14" spans="1:11" x14ac:dyDescent="0.25">
      <c r="A14" s="10">
        <v>37622</v>
      </c>
      <c r="B14">
        <f>'raw data'!C17*$J$2</f>
        <v>13712.262403414816</v>
      </c>
      <c r="C14">
        <f>'raw data'!D17*$J$2</f>
        <v>14074.767345244916</v>
      </c>
      <c r="D14">
        <f>'raw data'!E17*$J$2</f>
        <v>13712.262403414816</v>
      </c>
      <c r="E14">
        <f>'raw data'!F17*$J$2</f>
        <v>14123.592394013906</v>
      </c>
      <c r="F14">
        <f>'raw data'!G17*$J$2</f>
        <v>13712.262403414816</v>
      </c>
      <c r="G14">
        <f>'raw data'!H17*$J$2</f>
        <v>14117.068357324944</v>
      </c>
      <c r="H14">
        <f>'raw data'!I17*$K$2</f>
        <v>13619.433999999999</v>
      </c>
      <c r="I14">
        <f>'raw data'!J17*$K$2</f>
        <v>13992.484504845459</v>
      </c>
    </row>
    <row r="15" spans="1:11" x14ac:dyDescent="0.25">
      <c r="A15" s="10">
        <v>37712</v>
      </c>
      <c r="B15">
        <f>'raw data'!C18*$J$2</f>
        <v>13839.48111884953</v>
      </c>
      <c r="C15">
        <f>'raw data'!D18*$J$2</f>
        <v>14178.415347480808</v>
      </c>
      <c r="D15">
        <f>'raw data'!E18*$J$2</f>
        <v>13839.48111884953</v>
      </c>
      <c r="E15">
        <f>'raw data'!F18*$J$2</f>
        <v>14221.768623542926</v>
      </c>
      <c r="F15">
        <f>'raw data'!G18*$J$2</f>
        <v>13839.48111884953</v>
      </c>
      <c r="G15">
        <f>'raw data'!H18*$J$2</f>
        <v>14213.034832491579</v>
      </c>
      <c r="H15">
        <f>'raw data'!I18*$K$2</f>
        <v>13741.107</v>
      </c>
      <c r="I15">
        <f>'raw data'!J18*$K$2</f>
        <v>14079.71664749195</v>
      </c>
    </row>
    <row r="16" spans="1:11" x14ac:dyDescent="0.25">
      <c r="A16" s="10">
        <v>37803</v>
      </c>
      <c r="B16">
        <f>'raw data'!C19*$J$2</f>
        <v>14071.294874104018</v>
      </c>
      <c r="C16">
        <f>'raw data'!D19*$J$2</f>
        <v>14278.80133137222</v>
      </c>
      <c r="D16">
        <f>'raw data'!E19*$J$2</f>
        <v>14071.294874104018</v>
      </c>
      <c r="E16">
        <f>'raw data'!F19*$J$2</f>
        <v>14317.103740320306</v>
      </c>
      <c r="F16">
        <f>'raw data'!G19*$J$2</f>
        <v>14071.294874104018</v>
      </c>
      <c r="G16">
        <f>'raw data'!H19*$J$2</f>
        <v>14305.634062915522</v>
      </c>
      <c r="H16">
        <f>'raw data'!I19*$K$2</f>
        <v>13970.156999999999</v>
      </c>
      <c r="I16">
        <f>'raw data'!J19*$K$2</f>
        <v>14166.968380640943</v>
      </c>
    </row>
    <row r="17" spans="1:9" x14ac:dyDescent="0.25">
      <c r="A17" s="10">
        <v>37895</v>
      </c>
      <c r="B17">
        <f>'raw data'!C20*$J$2</f>
        <v>14235.76373450473</v>
      </c>
      <c r="C17">
        <f>'raw data'!D20*$J$2</f>
        <v>14375.820070520944</v>
      </c>
      <c r="D17">
        <f>'raw data'!E20*$J$2</f>
        <v>14235.76373450473</v>
      </c>
      <c r="E17">
        <f>'raw data'!F20*$J$2</f>
        <v>14409.597744346042</v>
      </c>
      <c r="F17">
        <f>'raw data'!G20*$J$2</f>
        <v>14235.76373450473</v>
      </c>
      <c r="G17">
        <f>'raw data'!H20*$J$2</f>
        <v>14395.076501393196</v>
      </c>
      <c r="H17">
        <f>'raw data'!I20*$K$2</f>
        <v>14131.379000000001</v>
      </c>
      <c r="I17">
        <f>'raw data'!J20*$K$2</f>
        <v>14255.295748528804</v>
      </c>
    </row>
    <row r="18" spans="1:9" x14ac:dyDescent="0.25">
      <c r="A18" s="10">
        <v>37987</v>
      </c>
      <c r="B18">
        <f>'raw data'!C21*$J$2</f>
        <v>14317.629872311352</v>
      </c>
      <c r="C18">
        <f>'raw data'!D21*$J$2</f>
        <v>14467.893168953842</v>
      </c>
      <c r="D18">
        <f>'raw data'!E21*$J$2</f>
        <v>14317.629872311352</v>
      </c>
      <c r="E18">
        <f>'raw data'!F21*$J$2</f>
        <v>14498.724503629088</v>
      </c>
      <c r="F18">
        <f>'raw data'!G21*$J$2</f>
        <v>14317.629872311352</v>
      </c>
      <c r="G18">
        <f>'raw data'!H21*$J$2</f>
        <v>14480.625563137135</v>
      </c>
      <c r="H18">
        <f>'raw data'!I21*$K$2</f>
        <v>14212.34</v>
      </c>
      <c r="I18">
        <f>'raw data'!J21*$K$2</f>
        <v>14345.471525215591</v>
      </c>
    </row>
    <row r="19" spans="1:9" x14ac:dyDescent="0.25">
      <c r="A19" s="10">
        <v>38078</v>
      </c>
      <c r="B19">
        <f>'raw data'!C22*$J$2</f>
        <v>14422.540591325753</v>
      </c>
      <c r="C19">
        <f>'raw data'!D22*$J$2</f>
        <v>14556.704249042263</v>
      </c>
      <c r="D19">
        <f>'raw data'!E22*$J$2</f>
        <v>14422.540591325753</v>
      </c>
      <c r="E19">
        <f>'raw data'!F22*$J$2</f>
        <v>14585.220602956908</v>
      </c>
      <c r="F19">
        <f>'raw data'!G22*$J$2</f>
        <v>14422.540591325753</v>
      </c>
      <c r="G19">
        <f>'raw data'!H22*$J$2</f>
        <v>14562.596927341967</v>
      </c>
      <c r="H19">
        <f>'raw data'!I22*$K$2</f>
        <v>14323.017</v>
      </c>
      <c r="I19">
        <f>'raw data'!J22*$K$2</f>
        <v>14436.967695131636</v>
      </c>
    </row>
    <row r="20" spans="1:9" x14ac:dyDescent="0.25">
      <c r="A20" s="10">
        <v>38169</v>
      </c>
      <c r="B20">
        <f>'raw data'!C23*$J$2</f>
        <v>14553.6526834942</v>
      </c>
      <c r="C20">
        <f>'raw data'!D23*$J$2</f>
        <v>14643.410801166501</v>
      </c>
      <c r="D20">
        <f>'raw data'!E23*$J$2</f>
        <v>14553.6526834942</v>
      </c>
      <c r="E20">
        <f>'raw data'!F23*$J$2</f>
        <v>14670.66443830264</v>
      </c>
      <c r="F20">
        <f>'raw data'!G23*$J$2</f>
        <v>14553.6526834942</v>
      </c>
      <c r="G20">
        <f>'raw data'!H23*$J$2</f>
        <v>14642.884669175457</v>
      </c>
      <c r="H20">
        <f>'raw data'!I23*$K$2</f>
        <v>14457.832</v>
      </c>
      <c r="I20">
        <f>'raw data'!J23*$K$2</f>
        <v>14530.657154778641</v>
      </c>
    </row>
    <row r="21" spans="1:9" x14ac:dyDescent="0.25">
      <c r="A21" s="10">
        <v>38261</v>
      </c>
      <c r="B21">
        <f>'raw data'!C24*$J$2</f>
        <v>14679.503455752198</v>
      </c>
      <c r="C21">
        <f>'raw data'!D24*$J$2</f>
        <v>14729.065089308649</v>
      </c>
      <c r="D21">
        <f>'raw data'!E24*$J$2</f>
        <v>14679.503455752198</v>
      </c>
      <c r="E21">
        <f>'raw data'!F24*$J$2</f>
        <v>14755.897820851951</v>
      </c>
      <c r="F21">
        <f>'raw data'!G24*$J$2</f>
        <v>14679.503455752198</v>
      </c>
      <c r="G21">
        <f>'raw data'!H24*$J$2</f>
        <v>14722.120147026853</v>
      </c>
      <c r="H21">
        <f>'raw data'!I24*$K$2</f>
        <v>14605.594999999999</v>
      </c>
      <c r="I21">
        <f>'raw data'!J24*$K$2</f>
        <v>14625.540051760048</v>
      </c>
    </row>
    <row r="22" spans="1:9" x14ac:dyDescent="0.25">
      <c r="A22" s="10">
        <v>38353</v>
      </c>
      <c r="B22">
        <f>'raw data'!C25*$J$2</f>
        <v>14835.975109889023</v>
      </c>
      <c r="C22">
        <f>'raw data'!D25*$J$2</f>
        <v>14815.876867831097</v>
      </c>
      <c r="D22">
        <f>'raw data'!E25*$J$2</f>
        <v>14835.975109889023</v>
      </c>
      <c r="E22">
        <f>'raw data'!F25*$J$2</f>
        <v>14843.130504967236</v>
      </c>
      <c r="F22">
        <f>'raw data'!G25*$J$2</f>
        <v>14835.975109889023</v>
      </c>
      <c r="G22">
        <f>'raw data'!H25*$J$2</f>
        <v>14802.513115258551</v>
      </c>
      <c r="H22">
        <f>'raw data'!I25*$K$2</f>
        <v>14767.846</v>
      </c>
      <c r="I22">
        <f>'raw data'!J25*$K$2</f>
        <v>14718.907157195204</v>
      </c>
    </row>
    <row r="23" spans="1:9" x14ac:dyDescent="0.25">
      <c r="A23" s="10">
        <v>38443</v>
      </c>
      <c r="B23">
        <f>'raw data'!C26*$J$2</f>
        <v>14913.421738970866</v>
      </c>
      <c r="C23">
        <f>'raw data'!D26*$J$2</f>
        <v>14902.372967158919</v>
      </c>
      <c r="D23">
        <f>'raw data'!E26*$J$2</f>
        <v>14913.421738970866</v>
      </c>
      <c r="E23">
        <f>'raw data'!F26*$J$2</f>
        <v>14932.362490648493</v>
      </c>
      <c r="F23">
        <f>'raw data'!G26*$J$2</f>
        <v>14913.421738970866</v>
      </c>
      <c r="G23">
        <f>'raw data'!H26*$J$2</f>
        <v>14883.74789467592</v>
      </c>
      <c r="H23">
        <f>'raw data'!I26*$K$2</f>
        <v>14839.707</v>
      </c>
      <c r="I23">
        <f>'raw data'!J26*$K$2</f>
        <v>14809.966355594781</v>
      </c>
    </row>
    <row r="24" spans="1:9" x14ac:dyDescent="0.25">
      <c r="A24" s="10">
        <v>38534</v>
      </c>
      <c r="B24">
        <f>'raw data'!C27*$J$2</f>
        <v>15038.746379237818</v>
      </c>
      <c r="C24">
        <f>'raw data'!D27*$J$2</f>
        <v>14989.079519283157</v>
      </c>
      <c r="D24">
        <f>'raw data'!E27*$J$2</f>
        <v>15038.746379237818</v>
      </c>
      <c r="E24">
        <f>'raw data'!F27*$J$2</f>
        <v>15022.436287515418</v>
      </c>
      <c r="F24">
        <f>'raw data'!G27*$J$2</f>
        <v>15038.746379237818</v>
      </c>
      <c r="G24">
        <f>'raw data'!H27*$J$2</f>
        <v>14965.508806084335</v>
      </c>
      <c r="H24">
        <f>'raw data'!I27*$K$2</f>
        <v>14956.290999999999</v>
      </c>
      <c r="I24">
        <f>'raw data'!J27*$K$2</f>
        <v>14899.764672396343</v>
      </c>
    </row>
    <row r="25" spans="1:9" x14ac:dyDescent="0.25">
      <c r="A25" s="10">
        <v>38626</v>
      </c>
      <c r="B25">
        <f>'raw data'!C28*$J$2</f>
        <v>15124.611120176385</v>
      </c>
      <c r="C25">
        <f>'raw data'!D28*$J$2</f>
        <v>15076.312203398442</v>
      </c>
      <c r="D25">
        <f>'raw data'!E28*$J$2</f>
        <v>15124.611120176385</v>
      </c>
      <c r="E25">
        <f>'raw data'!F28*$J$2</f>
        <v>15113.562348364436</v>
      </c>
      <c r="F25">
        <f>'raw data'!G28*$J$2</f>
        <v>15124.611120176385</v>
      </c>
      <c r="G25">
        <f>'raw data'!H28*$J$2</f>
        <v>15047.795849483795</v>
      </c>
      <c r="H25">
        <f>'raw data'!I28*$K$2</f>
        <v>15041.232</v>
      </c>
      <c r="I25">
        <f>'raw data'!J28*$K$2</f>
        <v>14987.734747776842</v>
      </c>
    </row>
    <row r="26" spans="1:9" x14ac:dyDescent="0.25">
      <c r="A26" s="10">
        <v>38718</v>
      </c>
      <c r="B26">
        <f>'raw data'!C29*$J$2</f>
        <v>15306.337109883376</v>
      </c>
      <c r="C26">
        <f>'raw data'!D29*$J$2</f>
        <v>15164.912830690444</v>
      </c>
      <c r="D26">
        <f>'raw data'!E29*$J$2</f>
        <v>15306.337109883376</v>
      </c>
      <c r="E26">
        <f>'raw data'!F29*$J$2</f>
        <v>15206.266805186591</v>
      </c>
      <c r="F26">
        <f>'raw data'!G29*$J$2</f>
        <v>15306.337109883376</v>
      </c>
      <c r="G26">
        <f>'raw data'!H29*$J$2</f>
        <v>15131.871741652807</v>
      </c>
      <c r="H26">
        <f>'raw data'!I29*$K$2</f>
        <v>15244.088</v>
      </c>
      <c r="I26">
        <f>'raw data'!J29*$K$2</f>
        <v>15073.664817058681</v>
      </c>
    </row>
    <row r="27" spans="1:9" x14ac:dyDescent="0.25">
      <c r="A27" s="10">
        <v>38808</v>
      </c>
      <c r="B27">
        <f>'raw data'!C30*$J$2</f>
        <v>15352.110593104304</v>
      </c>
      <c r="C27">
        <f>'raw data'!D30*$J$2</f>
        <v>15254.776174760953</v>
      </c>
      <c r="D27">
        <f>'raw data'!E30*$J$2</f>
        <v>15352.110593104304</v>
      </c>
      <c r="E27">
        <f>'raw data'!F30*$J$2</f>
        <v>15300.44443158367</v>
      </c>
      <c r="F27">
        <f>'raw data'!G30*$J$2</f>
        <v>15352.110593104304</v>
      </c>
      <c r="G27">
        <f>'raw data'!H30*$J$2</f>
        <v>15217.315576998539</v>
      </c>
      <c r="H27">
        <f>'raw data'!I30*$K$2</f>
        <v>15281.525</v>
      </c>
      <c r="I27">
        <f>'raw data'!J30*$K$2</f>
        <v>15158.023715379784</v>
      </c>
    </row>
    <row r="28" spans="1:9" x14ac:dyDescent="0.25">
      <c r="A28" s="10">
        <v>38899</v>
      </c>
      <c r="B28">
        <f>'raw data'!C31*$J$2</f>
        <v>15365.790024871476</v>
      </c>
      <c r="C28">
        <f>'raw data'!D31*$J$2</f>
        <v>15345.376103618926</v>
      </c>
      <c r="D28">
        <f>'raw data'!E31*$J$2</f>
        <v>15365.790024871476</v>
      </c>
      <c r="E28">
        <f>'raw data'!F31*$J$2</f>
        <v>15394.516831582541</v>
      </c>
      <c r="F28">
        <f>'raw data'!G31*$J$2</f>
        <v>15365.790024871476</v>
      </c>
      <c r="G28">
        <f>'raw data'!H31*$J$2</f>
        <v>15302.75941234427</v>
      </c>
      <c r="H28">
        <f>'raw data'!I31*$K$2</f>
        <v>15304.517</v>
      </c>
      <c r="I28">
        <f>'raw data'!J31*$K$2</f>
        <v>15239.103339568164</v>
      </c>
    </row>
    <row r="29" spans="1:9" x14ac:dyDescent="0.25">
      <c r="A29" s="10">
        <v>38991</v>
      </c>
      <c r="B29">
        <f>'raw data'!C32*$J$2</f>
        <v>15486.063798024396</v>
      </c>
      <c r="C29">
        <f>'raw data'!D32*$J$2</f>
        <v>15436.502164467942</v>
      </c>
      <c r="D29">
        <f>'raw data'!E32*$J$2</f>
        <v>15486.063798024396</v>
      </c>
      <c r="E29">
        <f>'raw data'!F32*$J$2</f>
        <v>15487.852646793948</v>
      </c>
      <c r="F29">
        <f>'raw data'!G32*$J$2</f>
        <v>15486.063798024396</v>
      </c>
      <c r="G29">
        <f>'raw data'!H32*$J$2</f>
        <v>15387.782342097164</v>
      </c>
      <c r="H29">
        <f>'raw data'!I32*$K$2</f>
        <v>15433.643</v>
      </c>
      <c r="I29">
        <f>'raw data'!J32*$K$2</f>
        <v>15316.914218297932</v>
      </c>
    </row>
    <row r="30" spans="1:9" x14ac:dyDescent="0.25">
      <c r="A30" s="10">
        <v>39083</v>
      </c>
      <c r="B30">
        <f>'raw data'!C33*$J$2</f>
        <v>15495.639400261416</v>
      </c>
      <c r="C30">
        <f>'raw data'!D33*$J$2</f>
        <v>15528.259583706214</v>
      </c>
      <c r="D30">
        <f>'raw data'!E33*$J$2</f>
        <v>15495.639400261416</v>
      </c>
      <c r="E30">
        <f>'raw data'!F33*$J$2</f>
        <v>15578.873481244758</v>
      </c>
      <c r="F30">
        <f>'raw data'!G33*$J$2</f>
        <v>15495.639400261416</v>
      </c>
      <c r="G30">
        <f>'raw data'!H33*$J$2</f>
        <v>15471.332102275132</v>
      </c>
      <c r="H30">
        <f>'raw data'!I33*$K$2</f>
        <v>15478.956</v>
      </c>
      <c r="I30">
        <f>'raw data'!J33*$K$2</f>
        <v>15394.59126299462</v>
      </c>
    </row>
    <row r="31" spans="1:9" x14ac:dyDescent="0.25">
      <c r="A31" s="10">
        <v>39173</v>
      </c>
      <c r="B31">
        <f>'raw data'!C34*$J$2</f>
        <v>15614.229551042992</v>
      </c>
      <c r="C31">
        <f>'raw data'!D34*$J$2</f>
        <v>15622.226757306877</v>
      </c>
      <c r="D31">
        <f>'raw data'!E34*$J$2</f>
        <v>15614.229551042992</v>
      </c>
      <c r="E31">
        <f>'raw data'!F34*$J$2</f>
        <v>15667.789787731386</v>
      </c>
      <c r="F31">
        <f>'raw data'!G34*$J$2</f>
        <v>15614.229551042992</v>
      </c>
      <c r="G31">
        <f>'raw data'!H34*$J$2</f>
        <v>15553.829598471008</v>
      </c>
      <c r="H31">
        <f>'raw data'!I34*$K$2</f>
        <v>15577.779</v>
      </c>
      <c r="I31">
        <f>'raw data'!J34*$K$2</f>
        <v>15472.772148648757</v>
      </c>
    </row>
    <row r="32" spans="1:9" x14ac:dyDescent="0.25">
      <c r="A32" s="10">
        <v>39264</v>
      </c>
      <c r="B32">
        <f>'raw data'!C35*$J$2</f>
        <v>15719.2454964556</v>
      </c>
      <c r="C32">
        <f>'raw data'!D35*$J$2</f>
        <v>15715.562572518284</v>
      </c>
      <c r="D32">
        <f>'raw data'!E35*$J$2</f>
        <v>15719.2454964556</v>
      </c>
      <c r="E32">
        <f>'raw data'!F35*$J$2</f>
        <v>15754.81201905025</v>
      </c>
      <c r="F32">
        <f>'raw data'!G35*$J$2</f>
        <v>15719.2454964556</v>
      </c>
      <c r="G32">
        <f>'raw data'!H35*$J$2</f>
        <v>15634.85392509196</v>
      </c>
      <c r="H32">
        <f>'raw data'!I35*$K$2</f>
        <v>15671.605</v>
      </c>
      <c r="I32">
        <f>'raw data'!J35*$K$2</f>
        <v>15551.685448278575</v>
      </c>
    </row>
    <row r="33" spans="1:9" x14ac:dyDescent="0.25">
      <c r="A33" s="10">
        <v>39356</v>
      </c>
      <c r="B33">
        <f>'raw data'!C36*$J$2</f>
        <v>15775.331166701011</v>
      </c>
      <c r="C33">
        <f>'raw data'!D36*$J$2</f>
        <v>15807.425218154765</v>
      </c>
      <c r="D33">
        <f>'raw data'!E36*$J$2</f>
        <v>15775.331166701011</v>
      </c>
      <c r="E33">
        <f>'raw data'!F36*$J$2</f>
        <v>15839.624496006727</v>
      </c>
      <c r="F33">
        <f>'raw data'!G36*$J$2</f>
        <v>15775.331166701011</v>
      </c>
      <c r="G33">
        <f>'raw data'!H36*$J$2</f>
        <v>15713.87895014694</v>
      </c>
      <c r="H33">
        <f>'raw data'!I36*$K$2</f>
        <v>15767.146000000001</v>
      </c>
      <c r="I33">
        <f>'raw data'!J36*$K$2</f>
        <v>15630.164389951682</v>
      </c>
    </row>
    <row r="34" spans="1:9" x14ac:dyDescent="0.25">
      <c r="A34" s="10">
        <v>39448</v>
      </c>
      <c r="B34">
        <f>'raw data'!C37*$J$2</f>
        <v>15667.684561333177</v>
      </c>
      <c r="C34">
        <f>'raw data'!D37*$J$2</f>
        <v>15896.551977437812</v>
      </c>
      <c r="D34">
        <f>'raw data'!E37*$J$2</f>
        <v>15667.684561333177</v>
      </c>
      <c r="E34">
        <f>'raw data'!F37*$J$2</f>
        <v>15921.385407415142</v>
      </c>
      <c r="F34">
        <f>'raw data'!G37*$J$2</f>
        <v>15667.684561333177</v>
      </c>
      <c r="G34">
        <f>'raw data'!H37*$J$2</f>
        <v>15789.747183255649</v>
      </c>
      <c r="H34">
        <f>'raw data'!I37*$K$2</f>
        <v>15702.906000000001</v>
      </c>
      <c r="I34">
        <f>'raw data'!J37*$K$2</f>
        <v>15707.896436018797</v>
      </c>
    </row>
    <row r="35" spans="1:9" x14ac:dyDescent="0.25">
      <c r="A35" s="10">
        <v>39539</v>
      </c>
      <c r="B35">
        <f>'raw data'!C38*$J$2</f>
        <v>15745.446869609648</v>
      </c>
      <c r="C35">
        <f>'raw data'!D38*$J$2</f>
        <v>15982.521944774588</v>
      </c>
      <c r="D35">
        <f>'raw data'!E38*$J$2</f>
        <v>15745.446869609648</v>
      </c>
      <c r="E35">
        <f>'raw data'!F38*$J$2</f>
        <v>16003.567224416394</v>
      </c>
      <c r="F35">
        <f>'raw data'!G38*$J$2</f>
        <v>15745.446869609648</v>
      </c>
      <c r="G35">
        <f>'raw data'!H38*$J$2</f>
        <v>15864.878831576894</v>
      </c>
      <c r="H35">
        <f>'raw data'!I38*$K$2</f>
        <v>15792.772999999999</v>
      </c>
      <c r="I35">
        <f>'raw data'!J38*$K$2</f>
        <v>15782.945118773247</v>
      </c>
    </row>
    <row r="36" spans="1:9" x14ac:dyDescent="0.25">
      <c r="A36" s="10">
        <v>39630</v>
      </c>
      <c r="B36">
        <f>'raw data'!C39*$J$2</f>
        <v>15669.894315695567</v>
      </c>
      <c r="C36">
        <f>'raw data'!D39*$J$2</f>
        <v>16064.808988174047</v>
      </c>
      <c r="D36">
        <f>'raw data'!E39*$J$2</f>
        <v>15669.894315695567</v>
      </c>
      <c r="E36">
        <f>'raw data'!F39*$J$2</f>
        <v>16082.697475869581</v>
      </c>
      <c r="F36">
        <f>'raw data'!G39*$J$2</f>
        <v>15669.894315695567</v>
      </c>
      <c r="G36">
        <f>'raw data'!H39*$J$2</f>
        <v>15936.853687951869</v>
      </c>
      <c r="H36">
        <f>'raw data'!I39*$K$2</f>
        <v>15709.562</v>
      </c>
      <c r="I36">
        <f>'raw data'!J39*$K$2</f>
        <v>15854.479153554397</v>
      </c>
    </row>
    <row r="37" spans="1:9" x14ac:dyDescent="0.25">
      <c r="A37" s="10">
        <v>39722</v>
      </c>
      <c r="B37">
        <f>'raw data'!C40*$J$2</f>
        <v>15338.852066929965</v>
      </c>
      <c r="C37">
        <f>'raw data'!D40*$J$2</f>
        <v>16142.571296450518</v>
      </c>
      <c r="D37">
        <f>'raw data'!E40*$J$2</f>
        <v>15338.852066929965</v>
      </c>
      <c r="E37">
        <f>'raw data'!F40*$J$2</f>
        <v>16158.039576987247</v>
      </c>
      <c r="F37">
        <f>'raw data'!G40*$J$2</f>
        <v>15338.852066929965</v>
      </c>
      <c r="G37">
        <f>'raw data'!H40*$J$2</f>
        <v>16004.829941194901</v>
      </c>
      <c r="H37">
        <f>'raw data'!I40*$K$2</f>
        <v>15366.607</v>
      </c>
      <c r="I37">
        <f>'raw data'!J40*$K$2</f>
        <v>15921.647052393451</v>
      </c>
    </row>
    <row r="38" spans="1:9" x14ac:dyDescent="0.25">
      <c r="A38" s="10">
        <v>39814</v>
      </c>
      <c r="B38">
        <f>'raw data'!C41*$J$2</f>
        <v>15126.294742547729</v>
      </c>
      <c r="C38">
        <f>'raw data'!D41*$J$2</f>
        <v>16213.599115241612</v>
      </c>
      <c r="D38">
        <f>'raw data'!E41*$J$2</f>
        <v>15126.294742547729</v>
      </c>
      <c r="E38">
        <f>'raw data'!F41*$J$2</f>
        <v>16228.85694298192</v>
      </c>
      <c r="F38">
        <f>'raw data'!G41*$J$2</f>
        <v>15126.294742547729</v>
      </c>
      <c r="G38">
        <f>'raw data'!H41*$J$2</f>
        <v>16068.071006518527</v>
      </c>
      <c r="H38">
        <f>'raw data'!I41*$K$2</f>
        <v>15187.475</v>
      </c>
      <c r="I38">
        <f>'raw data'!J41*$K$2</f>
        <v>15983.298522700341</v>
      </c>
    </row>
    <row r="39" spans="1:9" x14ac:dyDescent="0.25">
      <c r="A39" s="10">
        <v>39904</v>
      </c>
      <c r="B39">
        <f>'raw data'!C42*$J$2</f>
        <v>15105.880821295179</v>
      </c>
      <c r="C39">
        <f>'raw data'!D42*$J$2</f>
        <v>16277.261086158074</v>
      </c>
      <c r="D39">
        <f>'raw data'!E42*$J$2</f>
        <v>15105.880821295179</v>
      </c>
      <c r="E39">
        <f>'raw data'!F42*$J$2</f>
        <v>16288.941216359275</v>
      </c>
      <c r="F39">
        <f>'raw data'!G42*$J$2</f>
        <v>15105.880821295179</v>
      </c>
      <c r="G39">
        <f>'raw data'!H42*$J$2</f>
        <v>16122.473054392594</v>
      </c>
      <c r="H39">
        <f>'raw data'!I42*$K$2</f>
        <v>15161.772000000001</v>
      </c>
      <c r="I39">
        <f>'raw data'!J42*$K$2</f>
        <v>16040.702644623096</v>
      </c>
    </row>
    <row r="40" spans="1:9" x14ac:dyDescent="0.25">
      <c r="A40" s="10">
        <v>39995</v>
      </c>
      <c r="B40">
        <f>'raw data'!C43*$J$2</f>
        <v>15155.232002055212</v>
      </c>
      <c r="C40">
        <f>'raw data'!D43*$J$2</f>
        <v>16336.819227544383</v>
      </c>
      <c r="D40">
        <f>'raw data'!E43*$J$2</f>
        <v>15155.232002055212</v>
      </c>
      <c r="E40">
        <f>'raw data'!F43*$J$2</f>
        <v>16344.185075419015</v>
      </c>
      <c r="F40">
        <f>'raw data'!G43*$J$2</f>
        <v>15155.232002055212</v>
      </c>
      <c r="G40">
        <f>'raw data'!H43*$J$2</f>
        <v>16172.350367143674</v>
      </c>
      <c r="H40">
        <f>'raw data'!I43*$K$2</f>
        <v>15216.647000000001</v>
      </c>
      <c r="I40">
        <f>'raw data'!J43*$K$2</f>
        <v>16094.741671790714</v>
      </c>
    </row>
    <row r="41" spans="1:9" x14ac:dyDescent="0.25">
      <c r="A41" s="10">
        <v>40087</v>
      </c>
      <c r="B41">
        <f>'raw data'!C44*$J$2</f>
        <v>15301.917601158597</v>
      </c>
      <c r="C41">
        <f>'raw data'!D44*$J$2</f>
        <v>16393.325803382631</v>
      </c>
      <c r="D41">
        <f>'raw data'!E44*$J$2</f>
        <v>15301.917601158597</v>
      </c>
      <c r="E41">
        <f>'raw data'!F44*$J$2</f>
        <v>16395.535557745021</v>
      </c>
      <c r="F41">
        <f>'raw data'!G44*$J$2</f>
        <v>15301.917601158597</v>
      </c>
      <c r="G41">
        <f>'raw data'!H44*$J$2</f>
        <v>16218.544755957437</v>
      </c>
      <c r="H41">
        <f>'raw data'!I44*$K$2</f>
        <v>15379.155000000001</v>
      </c>
      <c r="I41">
        <f>'raw data'!J44*$K$2</f>
        <v>16147.063356892382</v>
      </c>
    </row>
    <row r="42" spans="1:9" x14ac:dyDescent="0.25">
      <c r="A42" s="10">
        <v>40179</v>
      </c>
      <c r="B42">
        <f>'raw data'!C45*$J$2</f>
        <v>15368.105005632075</v>
      </c>
      <c r="C42">
        <f>'raw data'!D45*$J$2</f>
        <v>16447.62262485849</v>
      </c>
      <c r="D42">
        <f>'raw data'!E45*$J$2</f>
        <v>15368.105005632075</v>
      </c>
      <c r="E42">
        <f>'raw data'!F45*$J$2</f>
        <v>16441.414267364158</v>
      </c>
      <c r="F42">
        <f>'raw data'!G45*$J$2</f>
        <v>15368.105005632075</v>
      </c>
      <c r="G42">
        <f>'raw data'!H45*$J$2</f>
        <v>16260.319636046421</v>
      </c>
      <c r="H42">
        <f>'raw data'!I45*$K$2</f>
        <v>15456.058999999999</v>
      </c>
      <c r="I42">
        <f>'raw data'!J45*$K$2</f>
        <v>16199.710242322295</v>
      </c>
    </row>
    <row r="43" spans="1:9" x14ac:dyDescent="0.25">
      <c r="A43" s="10">
        <v>40269</v>
      </c>
      <c r="B43">
        <f>'raw data'!C46*$J$2</f>
        <v>15516.579453505014</v>
      </c>
      <c r="C43">
        <f>'raw data'!D46*$J$2</f>
        <v>16500.551503157632</v>
      </c>
      <c r="D43">
        <f>'raw data'!E46*$J$2</f>
        <v>15516.579453505014</v>
      </c>
      <c r="E43">
        <f>'raw data'!F46*$J$2</f>
        <v>16488.029561770756</v>
      </c>
      <c r="F43">
        <f>'raw data'!G46*$J$2</f>
        <v>15516.579453505014</v>
      </c>
      <c r="G43">
        <f>'raw data'!H46*$J$2</f>
        <v>16301.042252153315</v>
      </c>
      <c r="H43">
        <f>'raw data'!I46*$K$2</f>
        <v>15605.628000000001</v>
      </c>
      <c r="I43">
        <f>'raw data'!J46*$K$2</f>
        <v>16253.716157120327</v>
      </c>
    </row>
    <row r="44" spans="1:9" x14ac:dyDescent="0.25">
      <c r="A44" s="10">
        <v>40360</v>
      </c>
      <c r="B44">
        <f>'raw data'!C47*$J$2</f>
        <v>15621.384946121205</v>
      </c>
      <c r="C44">
        <f>'raw data'!D47*$J$2</f>
        <v>16553.164702262144</v>
      </c>
      <c r="D44">
        <f>'raw data'!E47*$J$2</f>
        <v>15621.384946121205</v>
      </c>
      <c r="E44">
        <f>'raw data'!F47*$J$2</f>
        <v>16534.960535371985</v>
      </c>
      <c r="F44">
        <f>'raw data'!G47*$J$2</f>
        <v>15621.384946121205</v>
      </c>
      <c r="G44">
        <f>'raw data'!H47*$J$2</f>
        <v>16341.659641861999</v>
      </c>
      <c r="H44">
        <f>'raw data'!I47*$K$2</f>
        <v>15726.281999999999</v>
      </c>
      <c r="I44">
        <f>'raw data'!J47*$K$2</f>
        <v>16310.447723810714</v>
      </c>
    </row>
    <row r="45" spans="1:9" x14ac:dyDescent="0.25">
      <c r="A45" s="10">
        <v>40452</v>
      </c>
      <c r="B45">
        <f>'raw data'!C48*$J$2</f>
        <v>15719.771628446646</v>
      </c>
      <c r="C45">
        <f>'raw data'!D48*$J$2</f>
        <v>16606.514486154123</v>
      </c>
      <c r="D45">
        <f>'raw data'!E48*$J$2</f>
        <v>15719.771628446646</v>
      </c>
      <c r="E45">
        <f>'raw data'!F48*$J$2</f>
        <v>16583.575131344554</v>
      </c>
      <c r="F45">
        <f>'raw data'!G48*$J$2</f>
        <v>15719.771628446646</v>
      </c>
      <c r="G45">
        <f>'raw data'!H48*$J$2</f>
        <v>16383.329295552774</v>
      </c>
      <c r="H45">
        <f>'raw data'!I48*$K$2</f>
        <v>15807.995000000001</v>
      </c>
      <c r="I45">
        <f>'raw data'!J48*$K$2</f>
        <v>16369.305151435134</v>
      </c>
    </row>
    <row r="46" spans="1:9" x14ac:dyDescent="0.25">
      <c r="A46" s="10">
        <v>40544</v>
      </c>
      <c r="B46">
        <f>'raw data'!C49*$J$2</f>
        <v>15659.055996680036</v>
      </c>
      <c r="C46">
        <f>'raw data'!D49*$J$2</f>
        <v>16663.862873178041</v>
      </c>
      <c r="D46">
        <f>'raw data'!E49*$J$2</f>
        <v>15659.055996680036</v>
      </c>
      <c r="E46">
        <f>'raw data'!F49*$J$2</f>
        <v>16640.081707182802</v>
      </c>
      <c r="F46">
        <f>'raw data'!G49*$J$2</f>
        <v>15659.055996680036</v>
      </c>
      <c r="G46">
        <f>'raw data'!H49*$J$2</f>
        <v>16431.102080339671</v>
      </c>
      <c r="H46">
        <f>'raw data'!I49*$K$2</f>
        <v>15769.911</v>
      </c>
      <c r="I46">
        <f>'raw data'!J49*$K$2</f>
        <v>16430.464766780584</v>
      </c>
    </row>
    <row r="47" spans="1:9" x14ac:dyDescent="0.25">
      <c r="A47" s="10">
        <v>40634</v>
      </c>
      <c r="B47">
        <f>'raw data'!C50*$J$2</f>
        <v>15773.016185940414</v>
      </c>
      <c r="C47">
        <f>'raw data'!D50*$J$2</f>
        <v>16723.105335369724</v>
      </c>
      <c r="D47">
        <f>'raw data'!E50*$J$2</f>
        <v>15773.016185940414</v>
      </c>
      <c r="E47">
        <f>'raw data'!F50*$J$2</f>
        <v>16698.587584587021</v>
      </c>
      <c r="F47">
        <f>'raw data'!G50*$J$2</f>
        <v>15773.016185940414</v>
      </c>
      <c r="G47">
        <f>'raw data'!H50*$J$2</f>
        <v>16480.768940294336</v>
      </c>
      <c r="H47">
        <f>'raw data'!I50*$K$2</f>
        <v>15876.839</v>
      </c>
      <c r="I47">
        <f>'raw data'!J50*$K$2</f>
        <v>16494.124187380123</v>
      </c>
    </row>
    <row r="48" spans="1:9" x14ac:dyDescent="0.25">
      <c r="A48" s="10">
        <v>40725</v>
      </c>
      <c r="B48">
        <f>'raw data'!C51*$J$2</f>
        <v>15806.162501376257</v>
      </c>
      <c r="C48">
        <f>'raw data'!D51*$J$2</f>
        <v>16784.136646330961</v>
      </c>
      <c r="D48">
        <f>'raw data'!E51*$J$2</f>
        <v>15806.162501376257</v>
      </c>
      <c r="E48">
        <f>'raw data'!F51*$J$2</f>
        <v>16758.671857964375</v>
      </c>
      <c r="F48">
        <f>'raw data'!G51*$J$2</f>
        <v>15806.162501376257</v>
      </c>
      <c r="G48">
        <f>'raw data'!H51*$J$2</f>
        <v>16532.645554611383</v>
      </c>
      <c r="H48">
        <f>'raw data'!I51*$K$2</f>
        <v>15870.683999999999</v>
      </c>
      <c r="I48">
        <f>'raw data'!J51*$K$2</f>
        <v>16560.109528317294</v>
      </c>
    </row>
    <row r="49" spans="1:9" x14ac:dyDescent="0.25">
      <c r="A49" s="10">
        <v>40817</v>
      </c>
      <c r="B49">
        <f>'raw data'!C52*$J$2</f>
        <v>15984.205567145931</v>
      </c>
      <c r="C49">
        <f>'raw data'!D52*$J$2</f>
        <v>16846.85157966354</v>
      </c>
      <c r="D49">
        <f>'raw data'!E52*$J$2</f>
        <v>15984.205567145931</v>
      </c>
      <c r="E49">
        <f>'raw data'!F52*$J$2</f>
        <v>16820.018848120239</v>
      </c>
      <c r="F49">
        <f>'raw data'!G52*$J$2</f>
        <v>15984.205567145931</v>
      </c>
      <c r="G49">
        <f>'raw data'!H52*$J$2</f>
        <v>16586.731923290823</v>
      </c>
      <c r="H49">
        <f>'raw data'!I52*$K$2</f>
        <v>16048.701999999999</v>
      </c>
      <c r="I49">
        <f>'raw data'!J52*$K$2</f>
        <v>16627.891653548617</v>
      </c>
    </row>
    <row r="50" spans="1:9" x14ac:dyDescent="0.25">
      <c r="A50" s="10">
        <v>40909</v>
      </c>
      <c r="B50">
        <f>'raw data'!C53*$J$2</f>
        <v>16073.332326428979</v>
      </c>
      <c r="C50">
        <f>'raw data'!D53*$J$2</f>
        <v>16911.460588163885</v>
      </c>
      <c r="D50">
        <f>'raw data'!E53*$J$2</f>
        <v>16090.168550142424</v>
      </c>
      <c r="E50">
        <f>'raw data'!F53*$J$2</f>
        <v>16880.208347895801</v>
      </c>
      <c r="F50">
        <f>'raw data'!G53*$J$2</f>
        <v>16090.168550142424</v>
      </c>
      <c r="G50">
        <f>'raw data'!H53*$J$2</f>
        <v>16642.396687943401</v>
      </c>
      <c r="H50">
        <f>'raw data'!I53*$K$2</f>
        <v>16179.968000000001</v>
      </c>
      <c r="I50">
        <f>'raw data'!J53*$K$2</f>
        <v>16697.390719924417</v>
      </c>
    </row>
    <row r="51" spans="1:9" x14ac:dyDescent="0.25">
      <c r="A51" s="10">
        <v>41000</v>
      </c>
      <c r="B51">
        <f>'raw data'!C54*$J$2</f>
        <v>16138.25701412395</v>
      </c>
      <c r="C51">
        <f>'raw data'!D54*$J$2</f>
        <v>16978.489803823035</v>
      </c>
      <c r="D51">
        <f>'raw data'!E54*$J$2</f>
        <v>16165.300198463668</v>
      </c>
      <c r="E51">
        <f>'raw data'!F54*$J$2</f>
        <v>16941.765790848083</v>
      </c>
      <c r="F51">
        <f>'raw data'!G54*$J$2</f>
        <v>16165.300198463668</v>
      </c>
      <c r="G51">
        <f>'raw data'!H54*$J$2</f>
        <v>16700.90256534762</v>
      </c>
      <c r="H51">
        <f>'raw data'!I54*$K$2</f>
        <v>16253.726000000001</v>
      </c>
      <c r="I51">
        <f>'raw data'!J54*$K$2</f>
        <v>16768.971178461616</v>
      </c>
    </row>
    <row r="52" spans="1:9" x14ac:dyDescent="0.25">
      <c r="A52" s="10">
        <v>41091</v>
      </c>
      <c r="B52">
        <f>'raw data'!C55*$J$2</f>
        <v>16237.801186829689</v>
      </c>
      <c r="C52">
        <f>'raw data'!D55*$J$2</f>
        <v>17046.781736260695</v>
      </c>
      <c r="D52">
        <f>'raw data'!E55*$J$2</f>
        <v>16184.66185573413</v>
      </c>
      <c r="E52">
        <f>'raw data'!F55*$J$2</f>
        <v>17003.954592189621</v>
      </c>
      <c r="F52">
        <f>'raw data'!G55*$J$2</f>
        <v>16184.66185573413</v>
      </c>
      <c r="G52">
        <f>'raw data'!H55*$J$2</f>
        <v>16761.512970716019</v>
      </c>
      <c r="H52">
        <f>'raw data'!I55*$K$2</f>
        <v>16282.151</v>
      </c>
      <c r="I52">
        <f>'raw data'!J55*$K$2</f>
        <v>16842.160314521388</v>
      </c>
    </row>
    <row r="53" spans="1:9" x14ac:dyDescent="0.25">
      <c r="A53" s="10">
        <v>41183</v>
      </c>
      <c r="B53">
        <f>'raw data'!C56*$J$2</f>
        <v>16240.326620386706</v>
      </c>
      <c r="C53">
        <f>'raw data'!D56*$J$2</f>
        <v>17116.125932680443</v>
      </c>
      <c r="D53">
        <f>'raw data'!E56*$J$2</f>
        <v>16188.344779671444</v>
      </c>
      <c r="E53">
        <f>'raw data'!F56*$J$2</f>
        <v>17066.564299123991</v>
      </c>
      <c r="F53">
        <f>'raw data'!G56*$J$2</f>
        <v>16188.344779671444</v>
      </c>
      <c r="G53">
        <f>'raw data'!H56*$J$2</f>
        <v>16823.912224853972</v>
      </c>
      <c r="H53">
        <f>'raw data'!I56*$K$2</f>
        <v>16300.035</v>
      </c>
      <c r="I53">
        <f>'raw data'!J56*$K$2</f>
        <v>16916.653882648665</v>
      </c>
    </row>
    <row r="54" spans="1:9" x14ac:dyDescent="0.25">
      <c r="A54" s="10">
        <v>41275</v>
      </c>
      <c r="B54">
        <f>'raw data'!C57*$J$2</f>
        <v>16350.498659311557</v>
      </c>
      <c r="C54">
        <f>'raw data'!D57*$J$2</f>
        <v>17185.891034693028</v>
      </c>
      <c r="D54">
        <f>'raw data'!E57*$J$2</f>
        <v>16265.054823965827</v>
      </c>
      <c r="E54">
        <f>'raw data'!F57*$J$2</f>
        <v>17130.015817244035</v>
      </c>
      <c r="F54">
        <f>'raw data'!G57*$J$2</f>
        <v>16301.568384144359</v>
      </c>
      <c r="G54">
        <f>'raw data'!H57*$J$2</f>
        <v>16888.10032776148</v>
      </c>
      <c r="H54">
        <f>'raw data'!I57*$K$2</f>
        <v>16441.485000000001</v>
      </c>
      <c r="I54">
        <f>'raw data'!J57*$K$2</f>
        <v>16992.571486427674</v>
      </c>
    </row>
    <row r="55" spans="1:9" x14ac:dyDescent="0.25">
      <c r="A55" s="10">
        <v>41365</v>
      </c>
      <c r="B55">
        <f>'raw data'!C58*$J$2</f>
        <v>16422.263062890113</v>
      </c>
      <c r="C55">
        <f>'raw data'!D58*$J$2</f>
        <v>17255.024778316358</v>
      </c>
      <c r="D55">
        <f>'raw data'!E58*$J$2</f>
        <v>16310.302175195709</v>
      </c>
      <c r="E55">
        <f>'raw data'!F58*$J$2</f>
        <v>17192.309844983778</v>
      </c>
      <c r="F55">
        <f>'raw data'!G58*$J$2</f>
        <v>16332.820624412441</v>
      </c>
      <c r="G55">
        <f>'raw data'!H58*$J$2</f>
        <v>16953.445921049286</v>
      </c>
      <c r="H55">
        <f>'raw data'!I58*$K$2</f>
        <v>16464.401999999998</v>
      </c>
      <c r="I55">
        <f>'raw data'!J58*$K$2</f>
        <v>17069.566062011083</v>
      </c>
    </row>
    <row r="56" spans="1:9" x14ac:dyDescent="0.25">
      <c r="A56" s="10">
        <v>41456</v>
      </c>
      <c r="B56">
        <f>'raw data'!C59*$J$2</f>
        <v>16604.620410986357</v>
      </c>
      <c r="C56">
        <f>'raw data'!D59*$J$2</f>
        <v>17324.684653930737</v>
      </c>
      <c r="D56">
        <f>'raw data'!E59*$J$2</f>
        <v>16430.47072195042</v>
      </c>
      <c r="E56">
        <f>'raw data'!F59*$J$2</f>
        <v>17255.130004714567</v>
      </c>
      <c r="F56">
        <f>'raw data'!G59*$J$2</f>
        <v>16458.776623068647</v>
      </c>
      <c r="G56">
        <f>'raw data'!H59*$J$2</f>
        <v>17019.843778319184</v>
      </c>
      <c r="H56">
        <f>'raw data'!I59*$K$2</f>
        <v>16594.742999999999</v>
      </c>
      <c r="I56">
        <f>'raw data'!J59*$K$2</f>
        <v>17147.150782277757</v>
      </c>
    </row>
    <row r="57" spans="1:9" x14ac:dyDescent="0.25">
      <c r="A57" s="10">
        <v>41548</v>
      </c>
      <c r="B57">
        <f>'raw data'!C60*$J$2</f>
        <v>16748.043991745264</v>
      </c>
      <c r="C57">
        <f>'raw data'!D60*$J$2</f>
        <v>17394.975887934364</v>
      </c>
      <c r="D57">
        <f>'raw data'!E60*$J$2</f>
        <v>16585.258753715898</v>
      </c>
      <c r="E57">
        <f>'raw data'!F60*$J$2</f>
        <v>17318.476296436402</v>
      </c>
      <c r="F57">
        <f>'raw data'!G60*$J$2</f>
        <v>16619.352106735623</v>
      </c>
      <c r="G57">
        <f>'raw data'!H60*$J$2</f>
        <v>17087.188673172961</v>
      </c>
      <c r="H57">
        <f>'raw data'!I60*$K$2</f>
        <v>16712.759999999998</v>
      </c>
      <c r="I57">
        <f>'raw data'!J60*$K$2</f>
        <v>17225.802388399334</v>
      </c>
    </row>
    <row r="58" spans="1:9" x14ac:dyDescent="0.25">
      <c r="A58" s="10">
        <v>41640</v>
      </c>
      <c r="B58">
        <f>'raw data'!C61*$J$2</f>
        <v>16659.127685258638</v>
      </c>
      <c r="C58">
        <f>'raw data'!D61*$J$2</f>
        <v>17465.267121937995</v>
      </c>
      <c r="D58">
        <f>'raw data'!E61*$J$2</f>
        <v>16546.745891971394</v>
      </c>
      <c r="E58">
        <f>'raw data'!F61*$J$2</f>
        <v>17382.348720149283</v>
      </c>
      <c r="F58">
        <f>'raw data'!G61*$J$2</f>
        <v>16570.00092597559</v>
      </c>
      <c r="G58">
        <f>'raw data'!H61*$J$2</f>
        <v>17154.533568026738</v>
      </c>
      <c r="H58">
        <f>'raw data'!I61*$K$2</f>
        <v>16654.246999999999</v>
      </c>
      <c r="I58">
        <f>'raw data'!J61*$K$2</f>
        <v>17305.419454168063</v>
      </c>
    </row>
    <row r="59" spans="1:9" x14ac:dyDescent="0.25">
      <c r="A59" s="10">
        <v>41730</v>
      </c>
      <c r="B59">
        <f>'raw data'!C62*$J$2</f>
        <v>16847.167258858168</v>
      </c>
      <c r="C59">
        <f>'raw data'!D62*$J$2</f>
        <v>17536.294940729091</v>
      </c>
      <c r="D59">
        <f>'raw data'!E62*$J$2</f>
        <v>16732.575711208538</v>
      </c>
      <c r="E59">
        <f>'raw data'!F62*$J$2</f>
        <v>17448.115219029925</v>
      </c>
      <c r="F59">
        <f>'raw data'!G62*$J$2</f>
        <v>16731.839126421073</v>
      </c>
      <c r="G59">
        <f>'raw data'!H62*$J$2</f>
        <v>17223.246406057231</v>
      </c>
      <c r="H59">
        <f>'raw data'!I62*$K$2</f>
        <v>16868.109</v>
      </c>
      <c r="I59">
        <f>'raw data'!J62*$K$2</f>
        <v>17385.710529393622</v>
      </c>
    </row>
    <row r="60" spans="1:9" x14ac:dyDescent="0.25">
      <c r="A60" s="10">
        <v>41821</v>
      </c>
      <c r="B60">
        <f>'raw data'!C63*$J$2</f>
        <v>16994.694669147226</v>
      </c>
      <c r="C60">
        <f>'raw data'!D63*$J$2</f>
        <v>17609.111608289739</v>
      </c>
      <c r="D60">
        <f>'raw data'!E63*$J$2</f>
        <v>16908.619475412241</v>
      </c>
      <c r="E60">
        <f>'raw data'!F63*$J$2</f>
        <v>17515.77579307833</v>
      </c>
      <c r="F60">
        <f>'raw data'!G63*$J$2</f>
        <v>16935.662659751961</v>
      </c>
      <c r="G60">
        <f>'raw data'!H63*$J$2</f>
        <v>17292.590602476983</v>
      </c>
      <c r="H60">
        <f>'raw data'!I63*$K$2</f>
        <v>17064.616000000002</v>
      </c>
      <c r="I60">
        <f>'raw data'!J63*$K$2</f>
        <v>17467.54920948041</v>
      </c>
    </row>
    <row r="61" spans="1:9" x14ac:dyDescent="0.25">
      <c r="A61" s="10">
        <v>41913</v>
      </c>
      <c r="C61">
        <f>'raw data'!D64*$J$2</f>
        <v>17684.138030212773</v>
      </c>
      <c r="D61">
        <f>'raw data'!E64*$J$2</f>
        <v>16995.536480332896</v>
      </c>
      <c r="E61">
        <f>'raw data'!F64*$J$2</f>
        <v>17585.435668692706</v>
      </c>
      <c r="F61">
        <f>'raw data'!G64*$J$2</f>
        <v>17032.681398900684</v>
      </c>
      <c r="G61">
        <f>'raw data'!H64*$J$2</f>
        <v>17362.460930887773</v>
      </c>
      <c r="H61">
        <f>'raw data'!I64*$K$2</f>
        <v>17141.235000000001</v>
      </c>
      <c r="I61">
        <f>'raw data'!J64*$K$2</f>
        <v>17550.014792008409</v>
      </c>
    </row>
    <row r="62" spans="1:9" x14ac:dyDescent="0.25">
      <c r="A62" s="10">
        <v>42005</v>
      </c>
      <c r="C62">
        <f>'raw data'!D65*$J$2</f>
        <v>17762.847376073125</v>
      </c>
      <c r="D62">
        <f>'raw data'!E65*$J$2</f>
        <v>17022.790117469034</v>
      </c>
      <c r="E62">
        <f>'raw data'!F65*$J$2</f>
        <v>17658.7784682444</v>
      </c>
      <c r="F62">
        <f>'raw data'!G65*$J$2</f>
        <v>17119.282724626715</v>
      </c>
      <c r="G62">
        <f>'raw data'!H65*$J$2</f>
        <v>17432.962617687823</v>
      </c>
      <c r="H62">
        <f>'raw data'!I65*$K$2</f>
        <v>17280.647000000001</v>
      </c>
      <c r="I62">
        <f>'raw data'!J65*$K$2</f>
        <v>17632.760612537964</v>
      </c>
    </row>
    <row r="63" spans="1:9" x14ac:dyDescent="0.25">
      <c r="A63" s="10">
        <v>42095</v>
      </c>
      <c r="C63">
        <f>'raw data'!D66*$J$2</f>
        <v>17844.713513879753</v>
      </c>
      <c r="D63">
        <f>'raw data'!E66*$J$2</f>
        <v>17187.258977869747</v>
      </c>
      <c r="E63">
        <f>'raw data'!F66*$J$2</f>
        <v>17733.910116565643</v>
      </c>
      <c r="F63">
        <f>'raw data'!G66*$J$2</f>
        <v>17229.980895542612</v>
      </c>
      <c r="G63">
        <f>'raw data'!H66*$J$2</f>
        <v>17503.253851691457</v>
      </c>
      <c r="H63">
        <f>'raw data'!I66*$K$2</f>
        <v>17380.875</v>
      </c>
      <c r="I63">
        <f>'raw data'!J66*$K$2</f>
        <v>17715.601334992039</v>
      </c>
    </row>
    <row r="64" spans="1:9" x14ac:dyDescent="0.25">
      <c r="A64" s="10">
        <v>42186</v>
      </c>
      <c r="C64">
        <f>'raw data'!D67*$J$2</f>
        <v>17929.420764438019</v>
      </c>
      <c r="D64">
        <f>'raw data'!E67*$J$2</f>
        <v>17251.026175184415</v>
      </c>
      <c r="E64">
        <f>'raw data'!F67*$J$2</f>
        <v>17811.14629285107</v>
      </c>
      <c r="F64">
        <f>'raw data'!G67*$J$2</f>
        <v>17314.898598897296</v>
      </c>
      <c r="G64">
        <f>'raw data'!H67*$J$2</f>
        <v>17573.439859296876</v>
      </c>
      <c r="H64">
        <f>'raw data'!I67*$K$2</f>
        <v>17437.080000000002</v>
      </c>
      <c r="I64">
        <f>'raw data'!J67*$K$2</f>
        <v>17797.91133893585</v>
      </c>
    </row>
    <row r="65" spans="1:9" x14ac:dyDescent="0.25">
      <c r="A65" s="10">
        <v>42278</v>
      </c>
      <c r="C65">
        <f>'raw data'!D68*$J$2</f>
        <v>18016.969127747929</v>
      </c>
      <c r="E65">
        <f>'raw data'!F68*$J$2</f>
        <v>17890.381770702468</v>
      </c>
      <c r="F65">
        <f>'raw data'!G68*$J$2</f>
        <v>17352.569649456127</v>
      </c>
      <c r="G65">
        <f>'raw data'!H68*$J$2</f>
        <v>17643.310187707673</v>
      </c>
      <c r="H65">
        <f>'raw data'!I68*$K$2</f>
        <v>17462.579000000002</v>
      </c>
      <c r="I65">
        <f>'raw data'!J68*$K$2</f>
        <v>17879.075022707257</v>
      </c>
    </row>
    <row r="66" spans="1:9" x14ac:dyDescent="0.25">
      <c r="A66" s="10">
        <v>42370</v>
      </c>
      <c r="C66">
        <f>'raw data'!D69*$J$2</f>
        <v>18107.463830207693</v>
      </c>
      <c r="E66">
        <f>'raw data'!F69*$J$2</f>
        <v>17971.195644527001</v>
      </c>
      <c r="F66">
        <f>'raw data'!G69*$J$2</f>
        <v>17388.662304041824</v>
      </c>
      <c r="G66">
        <f>'raw data'!H69*$J$2</f>
        <v>17712.128252136376</v>
      </c>
      <c r="H66">
        <f>'raw data'!I69*$K$2</f>
        <v>17565.465</v>
      </c>
      <c r="I66">
        <f>'raw data'!J69*$K$2</f>
        <v>17959.524725668442</v>
      </c>
    </row>
    <row r="67" spans="1:9" x14ac:dyDescent="0.25">
      <c r="A67" s="10">
        <v>42461</v>
      </c>
      <c r="C67">
        <f>'raw data'!D70*$J$2</f>
        <v>18200.694419020892</v>
      </c>
      <c r="E67">
        <f>'raw data'!F70*$J$2</f>
        <v>18054.324499112132</v>
      </c>
      <c r="F67">
        <f>'raw data'!G70*$J$2</f>
        <v>17449.798841401269</v>
      </c>
      <c r="G67">
        <f>'raw data'!H70*$J$2</f>
        <v>17779.894052582989</v>
      </c>
      <c r="H67">
        <f>'raw data'!I70*$K$2</f>
        <v>17618.580999999998</v>
      </c>
      <c r="I67">
        <f>'raw data'!J70*$K$2</f>
        <v>18039.058551483766</v>
      </c>
    </row>
    <row r="68" spans="1:9" x14ac:dyDescent="0.25">
      <c r="A68" s="10">
        <v>42552</v>
      </c>
      <c r="C68">
        <f>'raw data'!D71*$J$2</f>
        <v>18296.345214992896</v>
      </c>
      <c r="E68">
        <f>'raw data'!F71*$J$2</f>
        <v>18139.873560856075</v>
      </c>
      <c r="F68">
        <f>'raw data'!G71*$J$2</f>
        <v>17575.01825527001</v>
      </c>
      <c r="G68">
        <f>'raw data'!H71*$J$2</f>
        <v>17847.554626631394</v>
      </c>
      <c r="H68">
        <f>'raw data'!I71*$K$2</f>
        <v>17724.489000000001</v>
      </c>
      <c r="I68">
        <f>'raw data'!J71*$K$2</f>
        <v>18117.649189862594</v>
      </c>
    </row>
    <row r="69" spans="1:9" x14ac:dyDescent="0.25">
      <c r="A69" s="10">
        <v>42644</v>
      </c>
      <c r="C69">
        <f>'raw data'!D72*$J$2</f>
        <v>18394.100538929084</v>
      </c>
      <c r="E69">
        <f>'raw data'!F72*$J$2</f>
        <v>18227.842829758822</v>
      </c>
      <c r="G69">
        <f>'raw data'!H72*$J$2</f>
        <v>17915.425653476217</v>
      </c>
      <c r="H69">
        <f>'raw data'!I72*$K$2</f>
        <v>17812.560000000001</v>
      </c>
      <c r="I69">
        <f>'raw data'!J72*$K$2</f>
        <v>18195.876939707825</v>
      </c>
    </row>
    <row r="70" spans="1:9" x14ac:dyDescent="0.25">
      <c r="A70" s="10">
        <v>42736</v>
      </c>
      <c r="C70">
        <f>'raw data'!D73*$J$2</f>
        <v>18493.539485236615</v>
      </c>
      <c r="E70">
        <f>'raw data'!F73*$J$2</f>
        <v>18319.074117006046</v>
      </c>
      <c r="G70">
        <f>'raw data'!H73*$J$2</f>
        <v>17984.033265108501</v>
      </c>
      <c r="H70">
        <f>'raw data'!I73*$K$2</f>
        <v>17889.094000000001</v>
      </c>
      <c r="I70">
        <f>'raw data'!J73*$K$2</f>
        <v>18274.532822062818</v>
      </c>
    </row>
    <row r="71" spans="1:9" x14ac:dyDescent="0.25">
      <c r="A71" s="10">
        <v>42826</v>
      </c>
      <c r="C71">
        <f>'raw data'!D74*$J$2</f>
        <v>18595.293412304745</v>
      </c>
      <c r="E71">
        <f>'raw data'!F74*$J$2</f>
        <v>18413.567422597753</v>
      </c>
      <c r="G71">
        <f>'raw data'!H74*$J$2</f>
        <v>18053.377461528253</v>
      </c>
      <c r="H71">
        <f>'raw data'!I74*$K$2</f>
        <v>17979.218000000001</v>
      </c>
      <c r="I71">
        <f>'raw data'!J74*$K$2</f>
        <v>18352.950873578</v>
      </c>
    </row>
    <row r="72" spans="1:9" x14ac:dyDescent="0.25">
      <c r="A72" s="10">
        <v>42917</v>
      </c>
      <c r="C72">
        <f>'raw data'!D75*$J$2</f>
        <v>18698.730961744219</v>
      </c>
      <c r="E72">
        <f>'raw data'!F75*$J$2</f>
        <v>18510.375708950061</v>
      </c>
      <c r="G72">
        <f>'raw data'!H75*$J$2</f>
        <v>18123.563469133675</v>
      </c>
      <c r="H72">
        <f>'raw data'!I75*$K$2</f>
        <v>18127.993999999999</v>
      </c>
      <c r="I72">
        <f>'raw data'!J75*$K$2</f>
        <v>18433.50352198413</v>
      </c>
    </row>
    <row r="73" spans="1:9" x14ac:dyDescent="0.25">
      <c r="A73" s="10">
        <v>43009</v>
      </c>
      <c r="E73">
        <f>'raw data'!F76*$J$2</f>
        <v>18609.288523266547</v>
      </c>
      <c r="G73">
        <f>'raw data'!H76*$J$2</f>
        <v>18195.117419915816</v>
      </c>
      <c r="H73">
        <f>'raw data'!I76*$K$2</f>
        <v>18310.3</v>
      </c>
      <c r="I73">
        <f>'raw data'!J76*$K$2</f>
        <v>18516.076051463522</v>
      </c>
    </row>
    <row r="74" spans="1:9" x14ac:dyDescent="0.25">
      <c r="A74" s="10">
        <v>43101</v>
      </c>
      <c r="E74">
        <f>'raw data'!F77*$J$2</f>
        <v>18709.884959954376</v>
      </c>
      <c r="G74">
        <f>'raw data'!H77*$J$2</f>
        <v>18268.775898662134</v>
      </c>
      <c r="H74">
        <f>'raw data'!I77*$K$2</f>
        <v>18437.127</v>
      </c>
      <c r="I74">
        <f>'raw data'!J77*$K$2</f>
        <v>18600.542516946021</v>
      </c>
    </row>
    <row r="75" spans="1:9" x14ac:dyDescent="0.25">
      <c r="A75" s="10">
        <v>43191</v>
      </c>
      <c r="E75">
        <f>'raw data'!F78*$J$2</f>
        <v>18812.059792615342</v>
      </c>
      <c r="G75">
        <f>'raw data'!H78*$J$2</f>
        <v>18344.01277338159</v>
      </c>
      <c r="H75">
        <f>'raw data'!I78*$K$2</f>
        <v>18565.697</v>
      </c>
      <c r="I75">
        <f>'raw data'!J78*$K$2</f>
        <v>18687.322097031873</v>
      </c>
    </row>
    <row r="76" spans="1:9" x14ac:dyDescent="0.25">
      <c r="A76" s="10">
        <v>43282</v>
      </c>
      <c r="E76">
        <f>'raw data'!F79*$J$2</f>
        <v>18915.39211565661</v>
      </c>
      <c r="G76">
        <f>'raw data'!H79*$J$2</f>
        <v>18420.82804407418</v>
      </c>
      <c r="H76">
        <f>'raw data'!I79*$K$2</f>
        <v>18699.748</v>
      </c>
      <c r="I76">
        <f>'raw data'!J79*$K$2</f>
        <v>18776.099110468444</v>
      </c>
    </row>
    <row r="77" spans="1:9" x14ac:dyDescent="0.25">
      <c r="A77" s="10">
        <v>43374</v>
      </c>
      <c r="E77">
        <f>'raw data'!F80*$J$2</f>
        <v>19019.776702679963</v>
      </c>
      <c r="G77">
        <f>'raw data'!H80*$J$2</f>
        <v>18499.221710739905</v>
      </c>
      <c r="H77">
        <f>'raw data'!I80*$K$2</f>
        <v>18733.741000000002</v>
      </c>
      <c r="I77">
        <f>'raw data'!J80*$K$2</f>
        <v>18865.372897453119</v>
      </c>
    </row>
    <row r="78" spans="1:9" x14ac:dyDescent="0.25">
      <c r="A78" s="10">
        <v>43466</v>
      </c>
      <c r="E78">
        <f>'raw data'!F81*$J$2</f>
        <v>19124.371742499738</v>
      </c>
      <c r="G78">
        <f>'raw data'!H81*$J$2</f>
        <v>18579.298999776973</v>
      </c>
      <c r="H78">
        <f>'raw data'!I81*$K$2</f>
        <v>18835.411</v>
      </c>
      <c r="I78">
        <f>'raw data'!J81*$K$2</f>
        <v>18954.764599505463</v>
      </c>
    </row>
    <row r="79" spans="1:9" x14ac:dyDescent="0.25">
      <c r="A79" s="10">
        <v>43556</v>
      </c>
      <c r="E79">
        <f>'raw data'!F82*$J$2</f>
        <v>19230.12427269981</v>
      </c>
      <c r="G79">
        <f>'raw data'!H82*$J$2</f>
        <v>18661.059911185388</v>
      </c>
      <c r="H79">
        <f>'raw data'!I82*$K$2</f>
        <v>18962.174999999999</v>
      </c>
      <c r="I79">
        <f>'raw data'!J82*$K$2</f>
        <v>19044.881460273402</v>
      </c>
    </row>
    <row r="80" spans="1:9" x14ac:dyDescent="0.25">
      <c r="A80" s="10">
        <v>43647</v>
      </c>
      <c r="E80">
        <f>'raw data'!F83*$J$2</f>
        <v>19336.508161289134</v>
      </c>
      <c r="H80">
        <f>'raw data'!I83*$K$2</f>
        <v>19130.932000000001</v>
      </c>
      <c r="I80">
        <f>'raw data'!J83*$K$2</f>
        <v>19135.419343657588</v>
      </c>
    </row>
    <row r="81" spans="1:9" x14ac:dyDescent="0.25">
      <c r="A81" s="10">
        <v>43739</v>
      </c>
      <c r="E81">
        <f>'raw data'!F84*$J$2</f>
        <v>19443.628634665929</v>
      </c>
      <c r="H81">
        <f>'raw data'!I84*$K$2</f>
        <v>19215.690999999999</v>
      </c>
      <c r="I81">
        <f>'raw data'!J84*$K$2</f>
        <v>19225.599085747494</v>
      </c>
    </row>
    <row r="82" spans="1:9" x14ac:dyDescent="0.25">
      <c r="A82" s="10">
        <v>43831</v>
      </c>
      <c r="E82">
        <f>'raw data'!F85*$J$2</f>
        <v>19551.485692830182</v>
      </c>
      <c r="H82">
        <f>'raw data'!I85*$K$2</f>
        <v>18989.877</v>
      </c>
      <c r="I82">
        <f>'raw data'!J85*$K$2</f>
        <v>19314.330228562518</v>
      </c>
    </row>
    <row r="83" spans="1:9" x14ac:dyDescent="0.25">
      <c r="A83" s="10">
        <v>43922</v>
      </c>
      <c r="E83">
        <f>'raw data'!F86*$J$2</f>
        <v>19659.86888298548</v>
      </c>
      <c r="H83">
        <f>'raw data'!I86*$K$2</f>
        <v>17378.712</v>
      </c>
      <c r="I83">
        <f>'raw data'!J86*$K$2</f>
        <v>19399.659424294787</v>
      </c>
    </row>
    <row r="84" spans="1:9" x14ac:dyDescent="0.25">
      <c r="A84" s="10">
        <v>44013</v>
      </c>
      <c r="E84">
        <f>'raw data'!F87*$J$2</f>
        <v>19768.462525937193</v>
      </c>
      <c r="H84">
        <f>'raw data'!I87*$K$2</f>
        <v>18743.72</v>
      </c>
      <c r="I84">
        <f>'raw data'!J87*$K$2</f>
        <v>19477.214282920206</v>
      </c>
    </row>
    <row r="85" spans="1:9" x14ac:dyDescent="0.25">
      <c r="A85" s="10">
        <v>44105</v>
      </c>
      <c r="E85">
        <f>'raw data'!F88*$J$2</f>
        <v>19877.371848083538</v>
      </c>
      <c r="H85">
        <f>'raw data'!I88*$K$2</f>
        <v>18924.261999999999</v>
      </c>
      <c r="I85">
        <f>'raw data'!J88*$K$2</f>
        <v>19559.271259869762</v>
      </c>
    </row>
    <row r="86" spans="1:9" x14ac:dyDescent="0.25">
      <c r="A86" s="10">
        <v>44197</v>
      </c>
      <c r="E86">
        <f>'raw data'!F89*$J$2</f>
        <v>19986.070717433464</v>
      </c>
      <c r="H86">
        <f>'raw data'!I89*$K$2</f>
        <v>19216.223999999998</v>
      </c>
      <c r="I86">
        <f>'raw data'!J89*$K$2</f>
        <v>19644.490000000002</v>
      </c>
    </row>
    <row r="87" spans="1:9" x14ac:dyDescent="0.25">
      <c r="A87" s="10">
        <v>44287</v>
      </c>
      <c r="E87">
        <f>'raw data'!F90*$J$2</f>
        <v>20094.664360385177</v>
      </c>
      <c r="H87">
        <f>'raw data'!I90*$K$2</f>
        <v>19544.248</v>
      </c>
      <c r="I87">
        <f>'raw data'!J90*$K$2</f>
        <v>19732.990000000002</v>
      </c>
    </row>
    <row r="88" spans="1:9" x14ac:dyDescent="0.25">
      <c r="A88" s="10">
        <v>44378</v>
      </c>
      <c r="E88">
        <f>'raw data'!F91*$J$2</f>
        <v>20203.363229735107</v>
      </c>
      <c r="H88">
        <f>'raw data'!I91*$K$2</f>
        <v>19672.594000000001</v>
      </c>
      <c r="I88">
        <f>'raw data'!J91*$K$2</f>
        <v>19822.82</v>
      </c>
    </row>
    <row r="89" spans="1:9" x14ac:dyDescent="0.25">
      <c r="A89" s="10">
        <v>44470</v>
      </c>
      <c r="E89">
        <f>'raw data'!F92*$J$2</f>
        <v>20312.062099085033</v>
      </c>
      <c r="H89">
        <f>'raw data'!I92*$K$2</f>
        <v>20006.181</v>
      </c>
      <c r="I89">
        <f>'raw data'!J92*$K$2</f>
        <v>19914.29</v>
      </c>
    </row>
    <row r="90" spans="1:9" x14ac:dyDescent="0.25">
      <c r="A90" s="10">
        <v>44562</v>
      </c>
      <c r="E90">
        <f>'raw data'!F93*$J$2</f>
        <v>20420.65574203675</v>
      </c>
      <c r="H90">
        <f>'raw data'!I93*$K$2</f>
        <v>19924.088</v>
      </c>
      <c r="I90">
        <f>'raw data'!J93*$K$2</f>
        <v>20005.45</v>
      </c>
    </row>
    <row r="91" spans="1:9" x14ac:dyDescent="0.25">
      <c r="A91" s="10">
        <v>44652</v>
      </c>
      <c r="E91">
        <f>'raw data'!F94*$J$2</f>
        <v>20529.249384988463</v>
      </c>
      <c r="H91">
        <f>'raw data'!I94*$K$2</f>
        <v>19895.271000000001</v>
      </c>
      <c r="I91">
        <f>'raw data'!J94*$K$2</f>
        <v>20101.18</v>
      </c>
    </row>
    <row r="92" spans="1:9" x14ac:dyDescent="0.25">
      <c r="A92" s="10">
        <v>44743</v>
      </c>
      <c r="E92">
        <f>'raw data'!F95*$J$2</f>
        <v>20637.948254338393</v>
      </c>
      <c r="H92">
        <f>'raw data'!I95*$K$2</f>
        <v>20021.721000000001</v>
      </c>
      <c r="I92">
        <f>'raw data'!J95*$K$2</f>
        <v>20197.939999999999</v>
      </c>
    </row>
    <row r="93" spans="1:9" x14ac:dyDescent="0.25">
      <c r="A93" s="10">
        <v>44835</v>
      </c>
      <c r="E93">
        <f>'raw data'!F96*$J$2</f>
        <v>20746.647123688315</v>
      </c>
      <c r="I93">
        <f>'raw data'!J96*$K$2</f>
        <v>20295.47</v>
      </c>
    </row>
    <row r="94" spans="1:9" x14ac:dyDescent="0.25">
      <c r="A94" s="10">
        <v>44927</v>
      </c>
      <c r="E94">
        <f>'raw data'!F97*$J$2</f>
        <v>20855.451219436451</v>
      </c>
      <c r="I94">
        <f>'raw data'!J97*$K$2</f>
        <v>20393.62</v>
      </c>
    </row>
    <row r="95" spans="1:9" x14ac:dyDescent="0.25">
      <c r="A95" s="10">
        <v>45017</v>
      </c>
      <c r="E95">
        <f>'raw data'!F98*$J$2</f>
        <v>20964.044862388168</v>
      </c>
      <c r="I95">
        <f>'raw data'!J98*$K$2</f>
        <v>20492.060000000001</v>
      </c>
    </row>
    <row r="96" spans="1:9" x14ac:dyDescent="0.25">
      <c r="A96" s="10">
        <v>45108</v>
      </c>
      <c r="E96">
        <f>'raw data'!F99*$J$2</f>
        <v>21072.848958136303</v>
      </c>
      <c r="I96">
        <f>'raw data'!J99*$K$2</f>
        <v>20591.2</v>
      </c>
    </row>
    <row r="97" spans="1:9" x14ac:dyDescent="0.25">
      <c r="A97" s="10">
        <v>45200</v>
      </c>
      <c r="E97">
        <f>'raw data'!F100*$J$2</f>
        <v>21181.863506680853</v>
      </c>
      <c r="I97">
        <f>'raw data'!J100*$K$2</f>
        <v>20690.79</v>
      </c>
    </row>
    <row r="98" spans="1:9" x14ac:dyDescent="0.25">
      <c r="A98" s="10">
        <v>45292</v>
      </c>
      <c r="E98">
        <f>'raw data'!F101*$J$2</f>
        <v>21291.193734420034</v>
      </c>
      <c r="I98">
        <f>'raw data'!J101*$K$2</f>
        <v>20790.79</v>
      </c>
    </row>
    <row r="99" spans="1:9" x14ac:dyDescent="0.25">
      <c r="A99" s="10">
        <v>45383</v>
      </c>
      <c r="E99">
        <f>'raw data'!F102*$J$2</f>
        <v>21401.470999743095</v>
      </c>
      <c r="I99">
        <f>'raw data'!J102*$K$2</f>
        <v>20890.48</v>
      </c>
    </row>
    <row r="100" spans="1:9" x14ac:dyDescent="0.25">
      <c r="A100" s="10">
        <v>45474</v>
      </c>
      <c r="E100">
        <f>'raw data'!F103*$J$2</f>
        <v>21512.169170658992</v>
      </c>
      <c r="I100">
        <f>'raw data'!J103*$K$2</f>
        <v>20989.97</v>
      </c>
    </row>
    <row r="101" spans="1:9" x14ac:dyDescent="0.25">
      <c r="A101" s="10">
        <v>45566</v>
      </c>
      <c r="E101">
        <f>'raw data'!F104*$J$2</f>
        <v>21623.077794371307</v>
      </c>
      <c r="I101">
        <f>'raw data'!J104*$K$2</f>
        <v>21089.27</v>
      </c>
    </row>
    <row r="102" spans="1:9" x14ac:dyDescent="0.25">
      <c r="A102" s="10">
        <v>45658</v>
      </c>
      <c r="E102">
        <f>'raw data'!F105*$J$2</f>
        <v>21734.40732367646</v>
      </c>
      <c r="I102">
        <f>'raw data'!J105*$K$2</f>
        <v>21188.34</v>
      </c>
    </row>
    <row r="103" spans="1:9" x14ac:dyDescent="0.25">
      <c r="A103" s="10">
        <v>45748</v>
      </c>
      <c r="E103">
        <f>'raw data'!F106*$J$2</f>
        <v>21844.895041795939</v>
      </c>
      <c r="I103">
        <f>'raw data'!J106*$K$2</f>
        <v>21287.1</v>
      </c>
    </row>
    <row r="104" spans="1:9" x14ac:dyDescent="0.25">
      <c r="A104" s="10">
        <v>45839</v>
      </c>
      <c r="E104">
        <f>'raw data'!F107*$J$2</f>
        <v>21955.487986313627</v>
      </c>
      <c r="I104">
        <f>'raw data'!J107*$K$2</f>
        <v>21385.9</v>
      </c>
    </row>
    <row r="105" spans="1:9" x14ac:dyDescent="0.25">
      <c r="A105" s="10">
        <v>45931</v>
      </c>
      <c r="E105">
        <f>'raw data'!F108*$J$2</f>
        <v>22066.186157229524</v>
      </c>
      <c r="I105">
        <f>'raw data'!J108*$K$2</f>
        <v>21484.639999999999</v>
      </c>
    </row>
    <row r="106" spans="1:9" x14ac:dyDescent="0.25">
      <c r="A106" s="10">
        <v>46023</v>
      </c>
      <c r="I106">
        <f>'raw data'!J109*$K$2</f>
        <v>21583.279999999999</v>
      </c>
    </row>
    <row r="107" spans="1:9" x14ac:dyDescent="0.25">
      <c r="A107" s="10">
        <v>46113</v>
      </c>
      <c r="I107">
        <f>'raw data'!J110*$K$2</f>
        <v>21681.52</v>
      </c>
    </row>
    <row r="108" spans="1:9" x14ac:dyDescent="0.25">
      <c r="A108" s="10">
        <v>46204</v>
      </c>
      <c r="I108">
        <f>'raw data'!J111*$K$2</f>
        <v>21779.48</v>
      </c>
    </row>
    <row r="109" spans="1:9" x14ac:dyDescent="0.25">
      <c r="A109" s="10">
        <v>46296</v>
      </c>
      <c r="I109">
        <f>'raw data'!J112*$K$2</f>
        <v>21877.360000000001</v>
      </c>
    </row>
    <row r="110" spans="1:9" x14ac:dyDescent="0.25">
      <c r="A110" s="10">
        <v>46388</v>
      </c>
      <c r="I110">
        <f>'raw data'!J113*$K$2</f>
        <v>21975.23</v>
      </c>
    </row>
    <row r="111" spans="1:9" x14ac:dyDescent="0.25">
      <c r="A111" s="10">
        <v>46478</v>
      </c>
      <c r="I111">
        <f>'raw data'!J114*$K$2</f>
        <v>22072.85</v>
      </c>
    </row>
    <row r="112" spans="1:9" x14ac:dyDescent="0.25">
      <c r="A112" s="10">
        <v>46569</v>
      </c>
      <c r="I112">
        <f>'raw data'!J115*$K$2</f>
        <v>22170.42</v>
      </c>
    </row>
    <row r="113" spans="1:9" x14ac:dyDescent="0.25">
      <c r="A113" s="10">
        <v>46661</v>
      </c>
      <c r="I113">
        <f>'raw data'!J116*$K$2</f>
        <v>22268.1</v>
      </c>
    </row>
    <row r="114" spans="1:9" x14ac:dyDescent="0.25">
      <c r="A114" s="10">
        <v>46753</v>
      </c>
      <c r="I114">
        <f>'raw data'!J117*$K$2</f>
        <v>22365.98</v>
      </c>
    </row>
    <row r="115" spans="1:9" x14ac:dyDescent="0.25">
      <c r="A115" s="10">
        <v>46844</v>
      </c>
      <c r="I115">
        <f>'raw data'!J118*$K$2</f>
        <v>22464.41</v>
      </c>
    </row>
    <row r="116" spans="1:9" x14ac:dyDescent="0.25">
      <c r="A116" s="10">
        <v>46935</v>
      </c>
      <c r="I116">
        <f>'raw data'!J119*$K$2</f>
        <v>22563.27</v>
      </c>
    </row>
    <row r="117" spans="1:9" x14ac:dyDescent="0.25">
      <c r="A117" s="10">
        <v>47027</v>
      </c>
      <c r="I117">
        <f>'raw data'!J120*$K$2</f>
        <v>22662.71</v>
      </c>
    </row>
    <row r="118" spans="1:9" x14ac:dyDescent="0.25">
      <c r="A118" s="10">
        <v>47119</v>
      </c>
      <c r="I118">
        <f>'raw data'!J121*$K$2</f>
        <v>22762.78</v>
      </c>
    </row>
    <row r="119" spans="1:9" x14ac:dyDescent="0.25">
      <c r="A119" s="10">
        <v>47209</v>
      </c>
      <c r="I119">
        <f>'raw data'!J122*$K$2</f>
        <v>22863.51</v>
      </c>
    </row>
    <row r="120" spans="1:9" x14ac:dyDescent="0.25">
      <c r="A120" s="10">
        <v>47300</v>
      </c>
      <c r="I120">
        <f>'raw data'!J123*$K$2</f>
        <v>22964.27</v>
      </c>
    </row>
    <row r="121" spans="1:9" x14ac:dyDescent="0.25">
      <c r="A121" s="10">
        <v>47392</v>
      </c>
      <c r="I121">
        <f>'raw data'!J124*$K$2</f>
        <v>23065.07</v>
      </c>
    </row>
    <row r="122" spans="1:9" x14ac:dyDescent="0.25">
      <c r="A122" s="10">
        <v>47484</v>
      </c>
      <c r="I122">
        <f>'raw data'!J125*$K$2</f>
        <v>23165.98</v>
      </c>
    </row>
    <row r="123" spans="1:9" x14ac:dyDescent="0.25">
      <c r="A123" s="10">
        <v>47574</v>
      </c>
      <c r="I123">
        <f>'raw data'!J126*$K$2</f>
        <v>23267.08</v>
      </c>
    </row>
    <row r="124" spans="1:9" x14ac:dyDescent="0.25">
      <c r="A124" s="10">
        <v>47665</v>
      </c>
      <c r="I124">
        <f>'raw data'!J127*$K$2</f>
        <v>23368.31</v>
      </c>
    </row>
    <row r="125" spans="1:9" x14ac:dyDescent="0.25">
      <c r="A125" s="10">
        <v>47757</v>
      </c>
      <c r="I125">
        <f>'raw data'!J128*$K$2</f>
        <v>23469.66</v>
      </c>
    </row>
    <row r="126" spans="1:9" x14ac:dyDescent="0.25">
      <c r="A126" s="10">
        <v>47849</v>
      </c>
      <c r="I126">
        <f>'raw data'!J129*$K$2</f>
        <v>23571.200000000001</v>
      </c>
    </row>
    <row r="127" spans="1:9" x14ac:dyDescent="0.25">
      <c r="A127" s="10">
        <v>47939</v>
      </c>
      <c r="I127">
        <f>'raw data'!J130*$K$2</f>
        <v>23672.91</v>
      </c>
    </row>
    <row r="128" spans="1:9" x14ac:dyDescent="0.25">
      <c r="A128" s="10">
        <v>48030</v>
      </c>
      <c r="I128">
        <f>'raw data'!J131*$K$2</f>
        <v>23774.75</v>
      </c>
    </row>
    <row r="129" spans="1:9" x14ac:dyDescent="0.25">
      <c r="A129" s="10">
        <v>48122</v>
      </c>
      <c r="I129">
        <f>'raw data'!J132*$K$2</f>
        <v>23876.74</v>
      </c>
    </row>
    <row r="130" spans="1:9" x14ac:dyDescent="0.25">
      <c r="A130" s="10">
        <v>48214</v>
      </c>
      <c r="I130">
        <f>'raw data'!J133*$K$2</f>
        <v>23978.93</v>
      </c>
    </row>
    <row r="131" spans="1:9" x14ac:dyDescent="0.25">
      <c r="A131" s="10">
        <v>48305</v>
      </c>
      <c r="I131">
        <f>'raw data'!J134*$K$2</f>
        <v>24081.32</v>
      </c>
    </row>
    <row r="132" spans="1:9" x14ac:dyDescent="0.25">
      <c r="A132" s="10">
        <v>48396</v>
      </c>
      <c r="I132">
        <f>'raw data'!J135*$K$2</f>
        <v>24183.71</v>
      </c>
    </row>
    <row r="133" spans="1:9" x14ac:dyDescent="0.25">
      <c r="A133" s="10">
        <v>48488</v>
      </c>
      <c r="I133">
        <f>'raw data'!J136*$K$2</f>
        <v>24286.07</v>
      </c>
    </row>
    <row r="134" spans="1:9" x14ac:dyDescent="0.25">
      <c r="A134" s="10">
        <v>48580</v>
      </c>
    </row>
    <row r="135" spans="1:9" x14ac:dyDescent="0.25">
      <c r="A135" s="10">
        <v>48670</v>
      </c>
    </row>
    <row r="136" spans="1:9" x14ac:dyDescent="0.25">
      <c r="A136" s="10">
        <v>48761</v>
      </c>
    </row>
    <row r="137" spans="1:9" x14ac:dyDescent="0.25">
      <c r="A137" s="10">
        <v>48853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5B39-FF8C-4062-95E6-34CEF21593F9}">
  <dimension ref="A1:U16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Y6" sqref="Y6"/>
    </sheetView>
  </sheetViews>
  <sheetFormatPr defaultRowHeight="13.2" x14ac:dyDescent="0.25"/>
  <cols>
    <col min="1" max="1" width="10.5546875" bestFit="1" customWidth="1"/>
    <col min="9" max="10" width="8.88671875" style="16"/>
    <col min="11" max="11" width="9.109375" bestFit="1" customWidth="1"/>
    <col min="13" max="14" width="9.109375" style="16" bestFit="1" customWidth="1"/>
    <col min="18" max="18" width="9.109375" bestFit="1" customWidth="1"/>
  </cols>
  <sheetData>
    <row r="1" spans="1:21" x14ac:dyDescent="0.25">
      <c r="A1" s="4" t="s">
        <v>34</v>
      </c>
      <c r="B1" t="s">
        <v>9</v>
      </c>
      <c r="C1" s="4" t="s">
        <v>10</v>
      </c>
      <c r="D1" s="4" t="s">
        <v>11</v>
      </c>
      <c r="E1" s="4" t="s">
        <v>10</v>
      </c>
      <c r="F1" s="4" t="s">
        <v>11</v>
      </c>
      <c r="G1" s="4" t="s">
        <v>10</v>
      </c>
      <c r="H1" s="4" t="s">
        <v>11</v>
      </c>
      <c r="I1" s="17" t="s">
        <v>10</v>
      </c>
      <c r="J1" s="17" t="s">
        <v>11</v>
      </c>
      <c r="K1" s="4" t="s">
        <v>10</v>
      </c>
      <c r="L1" s="4" t="s">
        <v>11</v>
      </c>
      <c r="M1" s="17" t="s">
        <v>10</v>
      </c>
      <c r="N1" s="17" t="s">
        <v>11</v>
      </c>
      <c r="O1" s="4"/>
      <c r="P1" s="4"/>
      <c r="Q1" s="4" t="s">
        <v>40</v>
      </c>
      <c r="R1" s="4" t="s">
        <v>40</v>
      </c>
    </row>
    <row r="2" spans="1:21" x14ac:dyDescent="0.25">
      <c r="A2" s="4" t="s">
        <v>31</v>
      </c>
      <c r="C2" s="4" t="s">
        <v>35</v>
      </c>
      <c r="D2" s="4" t="s">
        <v>36</v>
      </c>
      <c r="E2" s="4" t="s">
        <v>35</v>
      </c>
      <c r="F2" s="4" t="s">
        <v>36</v>
      </c>
      <c r="G2" s="4" t="s">
        <v>35</v>
      </c>
      <c r="H2" s="4" t="s">
        <v>36</v>
      </c>
      <c r="I2" s="4" t="s">
        <v>35</v>
      </c>
      <c r="J2" s="4" t="s">
        <v>36</v>
      </c>
      <c r="K2" s="4" t="s">
        <v>35</v>
      </c>
      <c r="L2" s="4" t="s">
        <v>36</v>
      </c>
      <c r="M2" s="17" t="s">
        <v>35</v>
      </c>
      <c r="N2" s="17" t="s">
        <v>36</v>
      </c>
      <c r="O2" s="4"/>
      <c r="P2" s="4"/>
      <c r="Q2" s="4" t="s">
        <v>41</v>
      </c>
      <c r="R2" s="4" t="s">
        <v>41</v>
      </c>
    </row>
    <row r="3" spans="1:21" x14ac:dyDescent="0.25">
      <c r="A3" s="4" t="s">
        <v>32</v>
      </c>
      <c r="C3">
        <v>2014</v>
      </c>
      <c r="D3">
        <v>2014</v>
      </c>
      <c r="E3">
        <v>2015</v>
      </c>
      <c r="F3">
        <v>2015</v>
      </c>
      <c r="G3">
        <v>2016</v>
      </c>
      <c r="H3">
        <v>2016</v>
      </c>
      <c r="I3">
        <v>2022</v>
      </c>
      <c r="J3">
        <v>2022</v>
      </c>
      <c r="K3" s="10">
        <v>45604</v>
      </c>
      <c r="L3" s="10">
        <v>45604</v>
      </c>
      <c r="M3" s="10">
        <v>45969</v>
      </c>
      <c r="N3" s="10">
        <v>45969</v>
      </c>
      <c r="O3" s="10"/>
      <c r="P3" s="10"/>
      <c r="Q3" s="10">
        <v>45604</v>
      </c>
      <c r="R3" s="10">
        <v>45969</v>
      </c>
    </row>
    <row r="4" spans="1:21" x14ac:dyDescent="0.25">
      <c r="A4" s="4" t="s">
        <v>33</v>
      </c>
      <c r="C4" s="4" t="s">
        <v>37</v>
      </c>
      <c r="D4" s="4" t="s">
        <v>37</v>
      </c>
      <c r="E4" s="4" t="s">
        <v>37</v>
      </c>
      <c r="F4" s="4" t="s">
        <v>37</v>
      </c>
      <c r="G4" s="4" t="s">
        <v>37</v>
      </c>
      <c r="H4" s="4" t="s">
        <v>37</v>
      </c>
      <c r="I4" s="4" t="s">
        <v>39</v>
      </c>
      <c r="J4" s="4" t="s">
        <v>39</v>
      </c>
      <c r="K4" s="4" t="s">
        <v>38</v>
      </c>
      <c r="L4" s="4" t="s">
        <v>38</v>
      </c>
      <c r="M4" s="17" t="s">
        <v>38</v>
      </c>
      <c r="N4" s="17" t="s">
        <v>38</v>
      </c>
      <c r="O4" s="4"/>
      <c r="P4" s="4"/>
      <c r="Q4" s="4" t="s">
        <v>42</v>
      </c>
      <c r="R4" s="4" t="s">
        <v>42</v>
      </c>
      <c r="T4" s="4" t="s">
        <v>45</v>
      </c>
    </row>
    <row r="5" spans="1:21" x14ac:dyDescent="0.25">
      <c r="B5" s="10">
        <v>36526</v>
      </c>
      <c r="C5" s="2">
        <v>12359.1</v>
      </c>
      <c r="D5" s="2">
        <v>12062</v>
      </c>
      <c r="E5">
        <v>12359.1</v>
      </c>
      <c r="F5">
        <v>12123.7</v>
      </c>
      <c r="G5" s="2">
        <v>12359.1</v>
      </c>
      <c r="H5" s="2">
        <v>12136.5</v>
      </c>
      <c r="I5" s="16">
        <v>12935.252</v>
      </c>
      <c r="J5" s="16">
        <v>12756.197799291815</v>
      </c>
      <c r="K5" s="16">
        <v>13878.147000000001</v>
      </c>
      <c r="L5" s="16">
        <v>13657.90971844553</v>
      </c>
      <c r="M5" s="16">
        <v>13878.147000000001</v>
      </c>
      <c r="N5" s="16">
        <v>13649.991760000001</v>
      </c>
      <c r="O5" s="16"/>
      <c r="P5" s="16"/>
      <c r="Q5" s="15">
        <v>72.070999999999998</v>
      </c>
      <c r="R5" s="15">
        <v>72.070999999999998</v>
      </c>
      <c r="T5" s="4" t="s">
        <v>51</v>
      </c>
      <c r="U5">
        <f>AVERAGE(Q53:Q56)/AVERAGE(Q41:Q44)</f>
        <v>1.0522639820902768</v>
      </c>
    </row>
    <row r="6" spans="1:21" x14ac:dyDescent="0.25">
      <c r="B6" s="10">
        <v>36617</v>
      </c>
      <c r="C6" s="2">
        <v>12592.5</v>
      </c>
      <c r="D6" s="2">
        <v>12171.2</v>
      </c>
      <c r="E6">
        <v>12592.5</v>
      </c>
      <c r="F6">
        <v>12232.3</v>
      </c>
      <c r="G6" s="2">
        <v>12592.5</v>
      </c>
      <c r="H6" s="2">
        <v>12243.8</v>
      </c>
      <c r="I6" s="16">
        <v>13170.749</v>
      </c>
      <c r="J6" s="16">
        <v>12885.549542919041</v>
      </c>
      <c r="K6" s="16">
        <v>14130.907999999999</v>
      </c>
      <c r="L6" s="16">
        <v>13802.557909996083</v>
      </c>
      <c r="M6" s="16">
        <v>14130.907999999999</v>
      </c>
      <c r="N6" s="16">
        <v>13792.736140000001</v>
      </c>
      <c r="O6" s="16"/>
      <c r="P6" s="16"/>
      <c r="Q6" s="15">
        <v>72.52</v>
      </c>
      <c r="R6" s="15">
        <v>72.52</v>
      </c>
      <c r="T6" s="4" t="s">
        <v>47</v>
      </c>
      <c r="U6">
        <f>AVERAGE(Q73:Q76)/AVERAGE(Q41:Q44)</f>
        <v>1.1291820643044876</v>
      </c>
    </row>
    <row r="7" spans="1:21" x14ac:dyDescent="0.25">
      <c r="B7" s="10">
        <v>36708</v>
      </c>
      <c r="C7" s="2">
        <v>12607.7</v>
      </c>
      <c r="D7" s="2">
        <v>12281.8</v>
      </c>
      <c r="E7">
        <v>12607.7</v>
      </c>
      <c r="F7">
        <v>12343</v>
      </c>
      <c r="G7" s="2">
        <v>12607.7</v>
      </c>
      <c r="H7" s="2">
        <v>12352.8</v>
      </c>
      <c r="I7" s="16">
        <v>13183.89</v>
      </c>
      <c r="J7" s="16">
        <v>13010.047124107925</v>
      </c>
      <c r="K7" s="16">
        <v>14145.312</v>
      </c>
      <c r="L7" s="16">
        <v>13940.660485459983</v>
      </c>
      <c r="M7" s="16">
        <v>14145.312</v>
      </c>
      <c r="N7" s="16">
        <v>13929.502</v>
      </c>
      <c r="O7" s="16"/>
      <c r="P7" s="16"/>
      <c r="Q7" s="15">
        <v>72.944000000000003</v>
      </c>
      <c r="R7" s="15">
        <v>72.944000000000003</v>
      </c>
      <c r="T7" s="4" t="s">
        <v>46</v>
      </c>
      <c r="U7">
        <f>AVERAGE(Q73:Q76)/AVERAGE(Q53:Q56)</f>
        <v>1.073097705065811</v>
      </c>
    </row>
    <row r="8" spans="1:21" x14ac:dyDescent="0.25">
      <c r="B8" s="10">
        <v>36800</v>
      </c>
      <c r="C8" s="2">
        <v>12679.3</v>
      </c>
      <c r="D8" s="2">
        <v>12393.4</v>
      </c>
      <c r="E8">
        <v>12679.3</v>
      </c>
      <c r="F8">
        <v>12455.4</v>
      </c>
      <c r="G8" s="2">
        <v>12679.3</v>
      </c>
      <c r="H8" s="2">
        <v>12463.2</v>
      </c>
      <c r="I8" s="16">
        <v>13262.25</v>
      </c>
      <c r="J8" s="16">
        <v>13129.144768063294</v>
      </c>
      <c r="K8" s="16">
        <v>14229.764999999999</v>
      </c>
      <c r="L8" s="16">
        <v>14071.401933454321</v>
      </c>
      <c r="M8" s="16">
        <v>14229.764999999999</v>
      </c>
      <c r="N8" s="16">
        <v>14059.35651</v>
      </c>
      <c r="O8" s="16"/>
      <c r="P8" s="16"/>
      <c r="Q8" s="15">
        <v>73.337000000000003</v>
      </c>
      <c r="R8" s="15">
        <v>73.337000000000003</v>
      </c>
    </row>
    <row r="9" spans="1:21" x14ac:dyDescent="0.25">
      <c r="B9" s="10">
        <v>36892</v>
      </c>
      <c r="C9" s="2">
        <v>12643.3</v>
      </c>
      <c r="D9" s="2">
        <v>12505.9</v>
      </c>
      <c r="E9">
        <v>12643.3</v>
      </c>
      <c r="F9">
        <v>12570.3</v>
      </c>
      <c r="G9" s="2">
        <v>12643.3</v>
      </c>
      <c r="H9" s="2">
        <v>12576.2</v>
      </c>
      <c r="I9" s="16">
        <v>13219.251</v>
      </c>
      <c r="J9" s="16">
        <v>13242.626114221135</v>
      </c>
      <c r="K9" s="16">
        <v>14183.12</v>
      </c>
      <c r="L9" s="16">
        <v>14194.982061117891</v>
      </c>
      <c r="M9" s="16">
        <v>14183.12</v>
      </c>
      <c r="N9" s="16">
        <v>14182.387000000001</v>
      </c>
      <c r="O9" s="16"/>
      <c r="P9" s="16"/>
      <c r="Q9" s="15">
        <v>73.822000000000003</v>
      </c>
      <c r="R9" s="15">
        <v>73.822000000000003</v>
      </c>
    </row>
    <row r="10" spans="1:21" x14ac:dyDescent="0.25">
      <c r="B10" s="10">
        <v>36982</v>
      </c>
      <c r="C10" s="2">
        <v>12710.3</v>
      </c>
      <c r="D10" s="2">
        <v>12618.3</v>
      </c>
      <c r="E10">
        <v>12710.3</v>
      </c>
      <c r="F10">
        <v>12684.7</v>
      </c>
      <c r="G10" s="2">
        <v>12710.3</v>
      </c>
      <c r="H10" s="2">
        <v>12689</v>
      </c>
      <c r="I10" s="16">
        <v>13301.394</v>
      </c>
      <c r="J10" s="16">
        <v>13350.399770501921</v>
      </c>
      <c r="K10" s="16">
        <v>14271.694</v>
      </c>
      <c r="L10" s="16">
        <v>14311.539722786703</v>
      </c>
      <c r="M10" s="16">
        <v>14271.694</v>
      </c>
      <c r="N10" s="16">
        <v>14298.497509999999</v>
      </c>
      <c r="O10" s="16"/>
      <c r="P10" s="16"/>
      <c r="Q10" s="15">
        <v>74.266000000000005</v>
      </c>
      <c r="R10" s="15">
        <v>74.266000000000005</v>
      </c>
    </row>
    <row r="11" spans="1:21" x14ac:dyDescent="0.25">
      <c r="B11" s="10">
        <v>37073</v>
      </c>
      <c r="C11" s="2">
        <v>12670.1</v>
      </c>
      <c r="D11" s="2">
        <v>12730.4</v>
      </c>
      <c r="E11">
        <v>12670.1</v>
      </c>
      <c r="F11">
        <v>12798.3</v>
      </c>
      <c r="G11" s="2">
        <v>12670.1</v>
      </c>
      <c r="H11" s="2">
        <v>12801.1</v>
      </c>
      <c r="I11" s="16">
        <v>13248.142</v>
      </c>
      <c r="J11" s="16">
        <v>13452.504389530579</v>
      </c>
      <c r="K11" s="16">
        <v>14214.516</v>
      </c>
      <c r="L11" s="16">
        <v>14421.269310856645</v>
      </c>
      <c r="M11" s="16">
        <v>14214.516</v>
      </c>
      <c r="N11" s="16">
        <v>14407.705180000001</v>
      </c>
      <c r="O11" s="16"/>
      <c r="P11" s="16"/>
      <c r="Q11" s="15">
        <v>74.558000000000007</v>
      </c>
      <c r="R11" s="15">
        <v>74.558000000000007</v>
      </c>
    </row>
    <row r="12" spans="1:21" x14ac:dyDescent="0.25">
      <c r="B12" s="10">
        <v>37165</v>
      </c>
      <c r="C12" s="2">
        <v>12705.3</v>
      </c>
      <c r="D12" s="2">
        <v>12841.7</v>
      </c>
      <c r="E12">
        <v>12705.3</v>
      </c>
      <c r="F12">
        <v>12910.2</v>
      </c>
      <c r="G12" s="2">
        <v>12705.3</v>
      </c>
      <c r="H12" s="2">
        <v>12911.5</v>
      </c>
      <c r="I12" s="16">
        <v>13284.880999999999</v>
      </c>
      <c r="J12" s="16">
        <v>13549.578308347609</v>
      </c>
      <c r="K12" s="16">
        <v>14253.574000000001</v>
      </c>
      <c r="L12" s="16">
        <v>14525.225668496101</v>
      </c>
      <c r="M12" s="16">
        <v>14253.574000000001</v>
      </c>
      <c r="N12" s="16">
        <v>14510.93506</v>
      </c>
      <c r="O12" s="16"/>
      <c r="P12" s="16"/>
      <c r="Q12" s="15">
        <v>74.792000000000002</v>
      </c>
      <c r="R12" s="15">
        <v>74.792000000000002</v>
      </c>
    </row>
    <row r="13" spans="1:21" x14ac:dyDescent="0.25">
      <c r="B13" s="10">
        <v>37257</v>
      </c>
      <c r="C13" s="2">
        <v>12822.3</v>
      </c>
      <c r="D13" s="2">
        <v>12950.5</v>
      </c>
      <c r="E13">
        <v>12822.3</v>
      </c>
      <c r="F13">
        <v>13016.8</v>
      </c>
      <c r="G13" s="2">
        <v>12822.3</v>
      </c>
      <c r="H13" s="2">
        <v>13016.9</v>
      </c>
      <c r="I13" s="16">
        <v>13394.91</v>
      </c>
      <c r="J13" s="16">
        <v>13642.026653665946</v>
      </c>
      <c r="K13" s="16">
        <v>14372.785</v>
      </c>
      <c r="L13" s="16">
        <v>14624.00334547519</v>
      </c>
      <c r="M13" s="16">
        <v>14372.785</v>
      </c>
      <c r="N13" s="16">
        <v>14608.736849999999</v>
      </c>
      <c r="O13" s="16"/>
      <c r="P13" s="16"/>
      <c r="Q13" s="15">
        <v>75.027000000000001</v>
      </c>
      <c r="R13" s="15">
        <v>75.027000000000001</v>
      </c>
    </row>
    <row r="14" spans="1:21" x14ac:dyDescent="0.25">
      <c r="B14" s="10">
        <v>37347</v>
      </c>
      <c r="C14" s="2">
        <v>12893</v>
      </c>
      <c r="D14" s="2">
        <v>13059.7</v>
      </c>
      <c r="E14">
        <v>12893</v>
      </c>
      <c r="F14">
        <v>13121.9</v>
      </c>
      <c r="G14" s="2">
        <v>12893</v>
      </c>
      <c r="H14" s="2">
        <v>13120.7</v>
      </c>
      <c r="I14" s="16">
        <v>13477.356</v>
      </c>
      <c r="J14" s="16">
        <v>13731.527536916305</v>
      </c>
      <c r="K14" s="16">
        <v>14460.848</v>
      </c>
      <c r="L14" s="16">
        <v>14719.438901074744</v>
      </c>
      <c r="M14" s="16">
        <v>14460.848</v>
      </c>
      <c r="N14" s="16">
        <v>14702.896699999999</v>
      </c>
      <c r="O14" s="16"/>
      <c r="P14" s="16"/>
      <c r="Q14" s="15">
        <v>75.289000000000001</v>
      </c>
      <c r="R14" s="15">
        <v>75.289000000000001</v>
      </c>
    </row>
    <row r="15" spans="1:21" x14ac:dyDescent="0.25">
      <c r="B15" s="10">
        <v>37438</v>
      </c>
      <c r="C15" s="2">
        <v>12955.8</v>
      </c>
      <c r="D15" s="2">
        <v>13167.2</v>
      </c>
      <c r="E15">
        <v>12955.8</v>
      </c>
      <c r="F15">
        <v>13224.4</v>
      </c>
      <c r="G15" s="2">
        <v>12955.8</v>
      </c>
      <c r="H15" s="2">
        <v>13221.8</v>
      </c>
      <c r="I15" s="16">
        <v>13531.741</v>
      </c>
      <c r="J15" s="16">
        <v>13819.421745281743</v>
      </c>
      <c r="K15" s="16">
        <v>14519.633</v>
      </c>
      <c r="L15" s="16">
        <v>14813.102098646215</v>
      </c>
      <c r="M15" s="16">
        <v>14519.633</v>
      </c>
      <c r="N15" s="16">
        <v>14795.138269999999</v>
      </c>
      <c r="O15" s="16"/>
      <c r="P15" s="16"/>
      <c r="Q15" s="15">
        <v>75.650000000000006</v>
      </c>
      <c r="R15" s="15">
        <v>75.650000000000006</v>
      </c>
    </row>
    <row r="16" spans="1:21" x14ac:dyDescent="0.25">
      <c r="B16" s="10">
        <v>37530</v>
      </c>
      <c r="C16" s="2">
        <v>12964</v>
      </c>
      <c r="D16" s="2">
        <v>13272.7</v>
      </c>
      <c r="E16">
        <v>12964</v>
      </c>
      <c r="F16">
        <v>13324.4</v>
      </c>
      <c r="G16" s="2">
        <v>12964</v>
      </c>
      <c r="H16" s="2">
        <v>13320.2</v>
      </c>
      <c r="I16" s="16">
        <v>13549.421</v>
      </c>
      <c r="J16" s="16">
        <v>13906.073089248501</v>
      </c>
      <c r="K16" s="16">
        <v>14537.58</v>
      </c>
      <c r="L16" s="16">
        <v>14905.535686049083</v>
      </c>
      <c r="M16" s="16">
        <v>14537.58</v>
      </c>
      <c r="N16" s="16">
        <v>14886.176240000001</v>
      </c>
      <c r="O16" s="16"/>
      <c r="P16" s="16"/>
      <c r="Q16" s="15">
        <v>76.088999999999999</v>
      </c>
      <c r="R16" s="15">
        <v>76.088999999999999</v>
      </c>
    </row>
    <row r="17" spans="2:18" x14ac:dyDescent="0.25">
      <c r="B17" s="10">
        <v>37622</v>
      </c>
      <c r="C17" s="2">
        <v>13031.2</v>
      </c>
      <c r="D17" s="2">
        <v>13375.7</v>
      </c>
      <c r="E17">
        <v>13031.2</v>
      </c>
      <c r="F17">
        <v>13422.1</v>
      </c>
      <c r="G17" s="2">
        <v>13031.2</v>
      </c>
      <c r="H17" s="2">
        <v>13415.9</v>
      </c>
      <c r="I17" s="16">
        <v>13619.433999999999</v>
      </c>
      <c r="J17" s="16">
        <v>13992.484504845459</v>
      </c>
      <c r="K17" s="16">
        <v>14614.141</v>
      </c>
      <c r="L17" s="16">
        <v>14997.837108045062</v>
      </c>
      <c r="M17" s="16">
        <v>14614.141</v>
      </c>
      <c r="N17" s="16">
        <v>14977.19895</v>
      </c>
      <c r="O17" s="16"/>
      <c r="P17" s="16"/>
      <c r="Q17" s="15">
        <v>76.460999999999999</v>
      </c>
      <c r="R17" s="15">
        <v>76.460999999999999</v>
      </c>
    </row>
    <row r="18" spans="2:18" x14ac:dyDescent="0.25">
      <c r="B18" s="10">
        <v>37712</v>
      </c>
      <c r="C18" s="2">
        <v>13152.1</v>
      </c>
      <c r="D18" s="2">
        <v>13474.2</v>
      </c>
      <c r="E18">
        <v>13152.1</v>
      </c>
      <c r="F18">
        <v>13515.4</v>
      </c>
      <c r="G18" s="2">
        <v>13152.1</v>
      </c>
      <c r="H18" s="2">
        <v>13507.1</v>
      </c>
      <c r="I18" s="16">
        <v>13741.107</v>
      </c>
      <c r="J18" s="16">
        <v>14079.71664749195</v>
      </c>
      <c r="K18" s="16">
        <v>14743.566999999999</v>
      </c>
      <c r="L18" s="16">
        <v>15090.807386325983</v>
      </c>
      <c r="M18" s="16">
        <v>14743.566999999999</v>
      </c>
      <c r="N18" s="16">
        <v>15069.0265</v>
      </c>
      <c r="O18" s="16"/>
      <c r="P18" s="16"/>
      <c r="Q18" s="15">
        <v>76.73</v>
      </c>
      <c r="R18" s="15">
        <v>76.73</v>
      </c>
    </row>
    <row r="19" spans="2:18" x14ac:dyDescent="0.25">
      <c r="B19" s="10">
        <v>37803</v>
      </c>
      <c r="C19" s="2">
        <v>13372.4</v>
      </c>
      <c r="D19" s="2">
        <v>13569.6</v>
      </c>
      <c r="E19">
        <v>13372.4</v>
      </c>
      <c r="F19">
        <v>13606</v>
      </c>
      <c r="G19" s="2">
        <v>13372.4</v>
      </c>
      <c r="H19" s="2">
        <v>13595.1</v>
      </c>
      <c r="I19" s="16">
        <v>13970.156999999999</v>
      </c>
      <c r="J19" s="16">
        <v>14166.968380640943</v>
      </c>
      <c r="K19" s="16">
        <v>14988.781999999999</v>
      </c>
      <c r="L19" s="16">
        <v>15183.877363796682</v>
      </c>
      <c r="M19" s="16">
        <v>14988.781999999999</v>
      </c>
      <c r="N19" s="16">
        <v>15161.01304</v>
      </c>
      <c r="O19" s="16"/>
      <c r="P19" s="16"/>
      <c r="Q19" s="15">
        <v>77.168999999999997</v>
      </c>
      <c r="R19" s="15">
        <v>77.168999999999997</v>
      </c>
    </row>
    <row r="20" spans="2:18" x14ac:dyDescent="0.25">
      <c r="B20" s="10">
        <v>37895</v>
      </c>
      <c r="C20" s="2">
        <v>13528.7</v>
      </c>
      <c r="D20" s="2">
        <v>13661.8</v>
      </c>
      <c r="E20">
        <v>13528.7</v>
      </c>
      <c r="F20">
        <v>13693.9</v>
      </c>
      <c r="G20" s="2">
        <v>13528.7</v>
      </c>
      <c r="H20" s="2">
        <v>13680.1</v>
      </c>
      <c r="I20" s="16">
        <v>14131.379000000001</v>
      </c>
      <c r="J20" s="16">
        <v>14255.295748528804</v>
      </c>
      <c r="K20" s="16">
        <v>15162.76</v>
      </c>
      <c r="L20" s="16">
        <v>15278.388684793345</v>
      </c>
      <c r="M20" s="16">
        <v>15162.76</v>
      </c>
      <c r="N20" s="16">
        <v>15254.334419999999</v>
      </c>
      <c r="O20" s="16"/>
      <c r="P20" s="16"/>
      <c r="Q20" s="15">
        <v>77.638999999999996</v>
      </c>
      <c r="R20" s="15">
        <v>77.638999999999996</v>
      </c>
    </row>
    <row r="21" spans="2:18" x14ac:dyDescent="0.25">
      <c r="B21" s="10">
        <v>37987</v>
      </c>
      <c r="C21" s="2">
        <v>13606.5</v>
      </c>
      <c r="D21" s="2">
        <v>13749.3</v>
      </c>
      <c r="E21">
        <v>13606.5</v>
      </c>
      <c r="F21">
        <v>13778.6</v>
      </c>
      <c r="G21" s="2">
        <v>13606.5</v>
      </c>
      <c r="H21" s="2">
        <v>13761.4</v>
      </c>
      <c r="I21" s="16">
        <v>14212.34</v>
      </c>
      <c r="J21" s="16">
        <v>14345.471525215591</v>
      </c>
      <c r="K21" s="16">
        <v>15248.68</v>
      </c>
      <c r="L21" s="16">
        <v>15374.838882758811</v>
      </c>
      <c r="M21" s="16">
        <v>15248.68</v>
      </c>
      <c r="N21" s="16">
        <v>15349.3686</v>
      </c>
      <c r="O21" s="16"/>
      <c r="P21" s="16"/>
      <c r="Q21" s="15">
        <v>78.192999999999998</v>
      </c>
      <c r="R21" s="15">
        <v>78.192999999999998</v>
      </c>
    </row>
    <row r="22" spans="2:18" x14ac:dyDescent="0.25">
      <c r="B22" s="10">
        <v>38078</v>
      </c>
      <c r="C22" s="2">
        <v>13706.2</v>
      </c>
      <c r="D22" s="2">
        <v>13833.7</v>
      </c>
      <c r="E22">
        <v>13706.2</v>
      </c>
      <c r="F22">
        <v>13860.8</v>
      </c>
      <c r="G22" s="2">
        <v>13706.2</v>
      </c>
      <c r="H22" s="2">
        <v>13839.3</v>
      </c>
      <c r="I22" s="16">
        <v>14323.017</v>
      </c>
      <c r="J22" s="16">
        <v>14436.967695131636</v>
      </c>
      <c r="K22" s="16">
        <v>15366.85</v>
      </c>
      <c r="L22" s="16">
        <v>15472.994124038232</v>
      </c>
      <c r="M22" s="16">
        <v>15366.85</v>
      </c>
      <c r="N22" s="16">
        <v>15445.75949</v>
      </c>
      <c r="O22" s="16"/>
      <c r="P22" s="16"/>
      <c r="Q22" s="15">
        <v>78.823999999999998</v>
      </c>
      <c r="R22" s="15">
        <v>78.823999999999998</v>
      </c>
    </row>
    <row r="23" spans="2:18" x14ac:dyDescent="0.25">
      <c r="B23" s="10">
        <v>38169</v>
      </c>
      <c r="C23" s="2">
        <v>13830.8</v>
      </c>
      <c r="D23" s="2">
        <v>13916.1</v>
      </c>
      <c r="E23">
        <v>13830.8</v>
      </c>
      <c r="F23">
        <v>13942</v>
      </c>
      <c r="G23" s="2">
        <v>13830.8</v>
      </c>
      <c r="H23" s="2">
        <v>13915.6</v>
      </c>
      <c r="I23" s="16">
        <v>14457.832</v>
      </c>
      <c r="J23" s="16">
        <v>14530.657154778641</v>
      </c>
      <c r="K23" s="16">
        <v>15512.619000000001</v>
      </c>
      <c r="L23" s="16">
        <v>15573.526926169097</v>
      </c>
      <c r="M23" s="16">
        <v>15512.619000000001</v>
      </c>
      <c r="N23" s="16">
        <v>15544.095600000001</v>
      </c>
      <c r="O23" s="16"/>
      <c r="P23" s="16"/>
      <c r="Q23" s="15">
        <v>79.323999999999998</v>
      </c>
      <c r="R23" s="15">
        <v>79.323999999999998</v>
      </c>
    </row>
    <row r="24" spans="2:18" x14ac:dyDescent="0.25">
      <c r="B24" s="10">
        <v>38261</v>
      </c>
      <c r="C24" s="2">
        <v>13950.4</v>
      </c>
      <c r="D24" s="2">
        <v>13997.5</v>
      </c>
      <c r="E24">
        <v>13950.4</v>
      </c>
      <c r="F24">
        <v>14023</v>
      </c>
      <c r="G24" s="2">
        <v>13950.4</v>
      </c>
      <c r="H24" s="2">
        <v>13990.9</v>
      </c>
      <c r="I24" s="16">
        <v>14605.594999999999</v>
      </c>
      <c r="J24" s="16">
        <v>14625.540051760048</v>
      </c>
      <c r="K24" s="16">
        <v>15670.88</v>
      </c>
      <c r="L24" s="16">
        <v>15675.558624075442</v>
      </c>
      <c r="M24" s="16">
        <v>15670.88</v>
      </c>
      <c r="N24" s="16">
        <v>15643.399439999999</v>
      </c>
      <c r="O24" s="16"/>
      <c r="P24" s="16"/>
      <c r="Q24" s="15">
        <v>79.938999999999993</v>
      </c>
      <c r="R24" s="15">
        <v>79.938999999999993</v>
      </c>
    </row>
    <row r="25" spans="2:18" x14ac:dyDescent="0.25">
      <c r="B25" s="10">
        <v>38353</v>
      </c>
      <c r="C25" s="2">
        <v>14099.1</v>
      </c>
      <c r="D25" s="2">
        <v>14080</v>
      </c>
      <c r="E25">
        <v>14099.1</v>
      </c>
      <c r="F25">
        <v>14105.9</v>
      </c>
      <c r="G25" s="2">
        <v>14099.1</v>
      </c>
      <c r="H25" s="2">
        <v>14067.3</v>
      </c>
      <c r="I25" s="16">
        <v>14767.846</v>
      </c>
      <c r="J25" s="16">
        <v>14718.907157195204</v>
      </c>
      <c r="K25" s="16">
        <v>15844.727000000001</v>
      </c>
      <c r="L25" s="16">
        <v>15775.796136923085</v>
      </c>
      <c r="M25" s="16">
        <v>15844.727000000001</v>
      </c>
      <c r="N25" s="16">
        <v>15740.362080000001</v>
      </c>
      <c r="O25" s="16"/>
      <c r="P25" s="16"/>
      <c r="Q25" s="15">
        <v>80.578000000000003</v>
      </c>
      <c r="R25" s="15">
        <v>80.578000000000003</v>
      </c>
    </row>
    <row r="26" spans="2:18" x14ac:dyDescent="0.25">
      <c r="B26" s="10">
        <v>38443</v>
      </c>
      <c r="C26" s="2">
        <v>14172.7</v>
      </c>
      <c r="D26" s="2">
        <v>14162.2</v>
      </c>
      <c r="E26">
        <v>14172.7</v>
      </c>
      <c r="F26">
        <v>14190.7</v>
      </c>
      <c r="G26" s="2">
        <v>14172.7</v>
      </c>
      <c r="H26" s="2">
        <v>14144.5</v>
      </c>
      <c r="I26" s="16">
        <v>14839.707</v>
      </c>
      <c r="J26" s="16">
        <v>14809.966355594781</v>
      </c>
      <c r="K26" s="16">
        <v>15922.781999999999</v>
      </c>
      <c r="L26" s="16">
        <v>15873.169983958669</v>
      </c>
      <c r="M26" s="16">
        <v>15922.781999999999</v>
      </c>
      <c r="N26" s="16">
        <v>15833.986349999999</v>
      </c>
      <c r="O26" s="16"/>
      <c r="P26" s="16"/>
      <c r="Q26" s="15">
        <v>81.158000000000001</v>
      </c>
      <c r="R26" s="15">
        <v>81.158000000000001</v>
      </c>
    </row>
    <row r="27" spans="2:18" x14ac:dyDescent="0.25">
      <c r="B27" s="10">
        <v>38534</v>
      </c>
      <c r="C27" s="2">
        <v>14291.8</v>
      </c>
      <c r="D27" s="2">
        <v>14244.6</v>
      </c>
      <c r="E27">
        <v>14291.8</v>
      </c>
      <c r="F27">
        <v>14276.3</v>
      </c>
      <c r="G27" s="2">
        <v>14291.8</v>
      </c>
      <c r="H27" s="2">
        <v>14222.2</v>
      </c>
      <c r="I27" s="16">
        <v>14956.290999999999</v>
      </c>
      <c r="J27" s="16">
        <v>14899.764672396343</v>
      </c>
      <c r="K27" s="16">
        <v>16047.587</v>
      </c>
      <c r="L27" s="16">
        <v>15968.843339929685</v>
      </c>
      <c r="M27" s="16">
        <v>16047.587</v>
      </c>
      <c r="N27" s="16">
        <v>15925.483969999999</v>
      </c>
      <c r="O27" s="16"/>
      <c r="P27" s="16"/>
      <c r="Q27" s="15">
        <v>81.897999999999996</v>
      </c>
      <c r="R27" s="15">
        <v>81.897999999999996</v>
      </c>
    </row>
    <row r="28" spans="2:18" x14ac:dyDescent="0.25">
      <c r="B28" s="10">
        <v>38626</v>
      </c>
      <c r="C28" s="2">
        <v>14373.4</v>
      </c>
      <c r="D28" s="2">
        <v>14327.5</v>
      </c>
      <c r="E28">
        <v>14373.4</v>
      </c>
      <c r="F28">
        <v>14362.9</v>
      </c>
      <c r="G28" s="2">
        <v>14373.4</v>
      </c>
      <c r="H28" s="2">
        <v>14300.4</v>
      </c>
      <c r="I28" s="16">
        <v>15041.232</v>
      </c>
      <c r="J28" s="16">
        <v>14987.734747776842</v>
      </c>
      <c r="K28" s="16">
        <v>16136.734</v>
      </c>
      <c r="L28" s="16">
        <v>16062.035941635966</v>
      </c>
      <c r="M28" s="16">
        <v>16136.734</v>
      </c>
      <c r="N28" s="16">
        <v>16014.16822</v>
      </c>
      <c r="O28" s="16"/>
      <c r="P28" s="16"/>
      <c r="Q28" s="15">
        <v>82.570999999999998</v>
      </c>
      <c r="R28" s="15">
        <v>82.570999999999998</v>
      </c>
    </row>
    <row r="29" spans="2:18" x14ac:dyDescent="0.25">
      <c r="B29" s="10">
        <v>38718</v>
      </c>
      <c r="C29" s="2">
        <v>14546.1</v>
      </c>
      <c r="D29" s="2">
        <v>14411.7</v>
      </c>
      <c r="E29">
        <v>14546.1</v>
      </c>
      <c r="F29">
        <v>14451</v>
      </c>
      <c r="G29" s="2">
        <v>14546.1</v>
      </c>
      <c r="H29" s="2">
        <v>14380.3</v>
      </c>
      <c r="I29" s="16">
        <v>15244.088</v>
      </c>
      <c r="J29" s="16">
        <v>15073.664817058681</v>
      </c>
      <c r="K29" s="16">
        <v>16353.834999999999</v>
      </c>
      <c r="L29" s="16">
        <v>16152.594087556377</v>
      </c>
      <c r="M29" s="16">
        <v>16353.834999999999</v>
      </c>
      <c r="N29" s="16">
        <v>16099.610210000001</v>
      </c>
      <c r="O29" s="16"/>
      <c r="P29" s="16"/>
      <c r="Q29" s="15">
        <v>83.156000000000006</v>
      </c>
      <c r="R29" s="15">
        <v>83.156000000000006</v>
      </c>
    </row>
    <row r="30" spans="2:18" x14ac:dyDescent="0.25">
      <c r="B30" s="10">
        <v>38808</v>
      </c>
      <c r="C30" s="2">
        <v>14589.6</v>
      </c>
      <c r="D30" s="2">
        <v>14497.1</v>
      </c>
      <c r="E30">
        <v>14589.6</v>
      </c>
      <c r="F30">
        <v>14540.5</v>
      </c>
      <c r="G30" s="2">
        <v>14589.6</v>
      </c>
      <c r="H30" s="2">
        <v>14461.5</v>
      </c>
      <c r="I30" s="16">
        <v>15281.525</v>
      </c>
      <c r="J30" s="16">
        <v>15158.023715379784</v>
      </c>
      <c r="K30" s="16">
        <v>16396.151000000002</v>
      </c>
      <c r="L30" s="16">
        <v>16240.797141806725</v>
      </c>
      <c r="M30" s="16">
        <v>16396.151000000002</v>
      </c>
      <c r="N30" s="16">
        <v>16182.644200000001</v>
      </c>
      <c r="O30" s="16"/>
      <c r="P30" s="16"/>
      <c r="Q30" s="15">
        <v>83.882000000000005</v>
      </c>
      <c r="R30" s="15">
        <v>83.882000000000005</v>
      </c>
    </row>
    <row r="31" spans="2:18" x14ac:dyDescent="0.25">
      <c r="B31" s="10">
        <v>38899</v>
      </c>
      <c r="C31" s="2">
        <v>14602.6</v>
      </c>
      <c r="D31" s="2">
        <v>14583.2</v>
      </c>
      <c r="E31">
        <v>14602.6</v>
      </c>
      <c r="F31">
        <v>14629.9</v>
      </c>
      <c r="G31" s="2">
        <v>14602.6</v>
      </c>
      <c r="H31" s="2">
        <v>14542.7</v>
      </c>
      <c r="I31" s="16">
        <v>15304.517</v>
      </c>
      <c r="J31" s="16">
        <v>15239.103339568164</v>
      </c>
      <c r="K31" s="16">
        <v>16420.738000000001</v>
      </c>
      <c r="L31" s="16">
        <v>16324.825212317573</v>
      </c>
      <c r="M31" s="16">
        <v>16420.738000000001</v>
      </c>
      <c r="N31" s="16">
        <v>16261.615949999999</v>
      </c>
      <c r="O31" s="16"/>
      <c r="P31" s="16"/>
      <c r="Q31" s="15">
        <v>84.468000000000004</v>
      </c>
      <c r="R31" s="15">
        <v>84.468000000000004</v>
      </c>
    </row>
    <row r="32" spans="2:18" x14ac:dyDescent="0.25">
      <c r="B32" s="10">
        <v>38991</v>
      </c>
      <c r="C32" s="2">
        <v>14716.9</v>
      </c>
      <c r="D32" s="2">
        <v>14669.8</v>
      </c>
      <c r="E32">
        <v>14716.9</v>
      </c>
      <c r="F32">
        <v>14718.6</v>
      </c>
      <c r="G32" s="2">
        <v>14716.9</v>
      </c>
      <c r="H32" s="2">
        <v>14623.5</v>
      </c>
      <c r="I32" s="16">
        <v>15433.643</v>
      </c>
      <c r="J32" s="16">
        <v>15316.914218297932</v>
      </c>
      <c r="K32" s="16">
        <v>16561.866000000002</v>
      </c>
      <c r="L32" s="16">
        <v>16404.43190398646</v>
      </c>
      <c r="M32" s="16">
        <v>16561.866000000002</v>
      </c>
      <c r="N32" s="16">
        <v>16336.383180000001</v>
      </c>
      <c r="O32" s="16"/>
      <c r="P32" s="16"/>
      <c r="Q32" s="15">
        <v>84.77</v>
      </c>
      <c r="R32" s="15">
        <v>84.77</v>
      </c>
    </row>
    <row r="33" spans="2:18" x14ac:dyDescent="0.25">
      <c r="B33" s="10">
        <v>39083</v>
      </c>
      <c r="C33" s="2">
        <v>14726</v>
      </c>
      <c r="D33" s="2">
        <v>14757</v>
      </c>
      <c r="E33">
        <v>14726</v>
      </c>
      <c r="F33">
        <v>14805.1</v>
      </c>
      <c r="G33" s="2">
        <v>14726</v>
      </c>
      <c r="H33" s="2">
        <v>14702.9</v>
      </c>
      <c r="I33" s="16">
        <v>15478.956</v>
      </c>
      <c r="J33" s="16">
        <v>15394.59126299462</v>
      </c>
      <c r="K33" s="16">
        <v>16611.689999999999</v>
      </c>
      <c r="L33" s="16">
        <v>16484.888028846122</v>
      </c>
      <c r="M33" s="16">
        <v>16611.689999999999</v>
      </c>
      <c r="N33" s="16">
        <v>16413.084159999999</v>
      </c>
      <c r="O33" s="16"/>
      <c r="P33" s="16"/>
      <c r="Q33" s="15">
        <v>85.575999999999993</v>
      </c>
      <c r="R33" s="15">
        <v>85.575999999999993</v>
      </c>
    </row>
    <row r="34" spans="2:18" x14ac:dyDescent="0.25">
      <c r="B34" s="10">
        <v>39173</v>
      </c>
      <c r="C34" s="2">
        <v>14838.7</v>
      </c>
      <c r="D34" s="2">
        <v>14846.3</v>
      </c>
      <c r="E34">
        <v>14838.7</v>
      </c>
      <c r="F34">
        <v>14889.6</v>
      </c>
      <c r="G34" s="2">
        <v>14838.7</v>
      </c>
      <c r="H34" s="2">
        <v>14781.3</v>
      </c>
      <c r="I34" s="16">
        <v>15577.779</v>
      </c>
      <c r="J34" s="16">
        <v>15472.772148648757</v>
      </c>
      <c r="K34" s="16">
        <v>16713.313999999998</v>
      </c>
      <c r="L34" s="16">
        <v>16566.649925173915</v>
      </c>
      <c r="M34" s="16">
        <v>16713.313999999998</v>
      </c>
      <c r="N34" s="16">
        <v>16492.813129999999</v>
      </c>
      <c r="O34" s="16"/>
      <c r="P34" s="16"/>
      <c r="Q34" s="15">
        <v>86.171000000000006</v>
      </c>
      <c r="R34" s="15">
        <v>86.171000000000006</v>
      </c>
    </row>
    <row r="35" spans="2:18" x14ac:dyDescent="0.25">
      <c r="B35" s="10">
        <v>39264</v>
      </c>
      <c r="C35" s="2">
        <v>14938.5</v>
      </c>
      <c r="D35" s="2">
        <v>14935</v>
      </c>
      <c r="E35">
        <v>14938.5</v>
      </c>
      <c r="F35">
        <v>14972.3</v>
      </c>
      <c r="G35" s="2">
        <v>14938.5</v>
      </c>
      <c r="H35" s="2">
        <v>14858.3</v>
      </c>
      <c r="I35" s="16">
        <v>15671.605</v>
      </c>
      <c r="J35" s="16">
        <v>15551.685448278575</v>
      </c>
      <c r="K35" s="16">
        <v>16809.587</v>
      </c>
      <c r="L35" s="16">
        <v>16649.553222510956</v>
      </c>
      <c r="M35" s="16">
        <v>16809.587</v>
      </c>
      <c r="N35" s="16">
        <v>16575.361219999999</v>
      </c>
      <c r="O35" s="16"/>
      <c r="P35" s="16"/>
      <c r="Q35" s="15">
        <v>86.641999999999996</v>
      </c>
      <c r="R35" s="15">
        <v>86.641999999999996</v>
      </c>
    </row>
    <row r="36" spans="2:18" x14ac:dyDescent="0.25">
      <c r="B36" s="10">
        <v>39356</v>
      </c>
      <c r="C36" s="2">
        <v>14991.8</v>
      </c>
      <c r="D36" s="2">
        <v>15022.3</v>
      </c>
      <c r="E36">
        <v>14991.8</v>
      </c>
      <c r="F36">
        <v>15052.9</v>
      </c>
      <c r="G36" s="2">
        <v>14991.8</v>
      </c>
      <c r="H36" s="2">
        <v>14933.4</v>
      </c>
      <c r="I36" s="16">
        <v>15767.146000000001</v>
      </c>
      <c r="J36" s="16">
        <v>15630.164389951682</v>
      </c>
      <c r="K36" s="16">
        <v>16915.190999999999</v>
      </c>
      <c r="L36" s="16">
        <v>16732.836359592024</v>
      </c>
      <c r="M36" s="16">
        <v>16915.190999999999</v>
      </c>
      <c r="N36" s="16">
        <v>16658.261600000002</v>
      </c>
      <c r="O36" s="16"/>
      <c r="P36" s="16"/>
      <c r="Q36" s="15">
        <v>86.992999999999995</v>
      </c>
      <c r="R36" s="15">
        <v>86.992999999999995</v>
      </c>
    </row>
    <row r="37" spans="2:18" x14ac:dyDescent="0.25">
      <c r="B37" s="10">
        <v>39448</v>
      </c>
      <c r="C37" s="2">
        <v>14889.5</v>
      </c>
      <c r="D37" s="2">
        <v>15107</v>
      </c>
      <c r="E37">
        <v>14889.5</v>
      </c>
      <c r="F37">
        <v>15130.6</v>
      </c>
      <c r="G37" s="2">
        <v>14889.5</v>
      </c>
      <c r="H37" s="2">
        <v>15005.5</v>
      </c>
      <c r="I37" s="16">
        <v>15702.906000000001</v>
      </c>
      <c r="J37" s="16">
        <v>15707.896436018797</v>
      </c>
      <c r="K37" s="16">
        <v>16843.003000000001</v>
      </c>
      <c r="L37" s="16">
        <v>16815.605755710523</v>
      </c>
      <c r="M37" s="16">
        <v>16843.003000000001</v>
      </c>
      <c r="N37" s="16">
        <v>16741.835510000001</v>
      </c>
      <c r="O37" s="16"/>
      <c r="P37" s="16"/>
      <c r="Q37" s="15">
        <v>87.314999999999998</v>
      </c>
      <c r="R37" s="15">
        <v>87.314999999999998</v>
      </c>
    </row>
    <row r="38" spans="2:18" x14ac:dyDescent="0.25">
      <c r="B38" s="10">
        <v>39539</v>
      </c>
      <c r="C38" s="2">
        <v>14963.4</v>
      </c>
      <c r="D38" s="2">
        <v>15188.7</v>
      </c>
      <c r="E38">
        <v>14963.4</v>
      </c>
      <c r="F38">
        <v>15208.7</v>
      </c>
      <c r="G38" s="2">
        <v>14963.4</v>
      </c>
      <c r="H38" s="2">
        <v>15076.9</v>
      </c>
      <c r="I38" s="16">
        <v>15792.772999999999</v>
      </c>
      <c r="J38" s="16">
        <v>15782.945118773247</v>
      </c>
      <c r="K38" s="16">
        <v>16943.291000000001</v>
      </c>
      <c r="L38" s="16">
        <v>16895.89498163922</v>
      </c>
      <c r="M38" s="16">
        <v>16943.291000000001</v>
      </c>
      <c r="N38" s="16">
        <v>16824.008460000001</v>
      </c>
      <c r="O38" s="16"/>
      <c r="P38" s="16"/>
      <c r="Q38" s="15">
        <v>87.738</v>
      </c>
      <c r="R38" s="15">
        <v>87.738</v>
      </c>
    </row>
    <row r="39" spans="2:18" x14ac:dyDescent="0.25">
      <c r="B39" s="10">
        <v>39630</v>
      </c>
      <c r="C39" s="2">
        <v>14891.6</v>
      </c>
      <c r="D39" s="2">
        <v>15266.9</v>
      </c>
      <c r="E39">
        <v>14891.6</v>
      </c>
      <c r="F39">
        <v>15283.9</v>
      </c>
      <c r="G39" s="2">
        <v>14891.6</v>
      </c>
      <c r="H39" s="2">
        <v>15145.3</v>
      </c>
      <c r="I39" s="16">
        <v>15709.562</v>
      </c>
      <c r="J39" s="16">
        <v>15854.479153554397</v>
      </c>
      <c r="K39" s="16">
        <v>16854.294999999998</v>
      </c>
      <c r="L39" s="16">
        <v>16973.238277426874</v>
      </c>
      <c r="M39" s="16">
        <v>16854.294999999998</v>
      </c>
      <c r="N39" s="16">
        <v>16903.751319999999</v>
      </c>
      <c r="O39" s="16"/>
      <c r="P39" s="16"/>
      <c r="Q39" s="15">
        <v>88.399000000000001</v>
      </c>
      <c r="R39" s="15">
        <v>88.399000000000001</v>
      </c>
    </row>
    <row r="40" spans="2:18" x14ac:dyDescent="0.25">
      <c r="B40" s="10">
        <v>39722</v>
      </c>
      <c r="C40" s="2">
        <v>14577</v>
      </c>
      <c r="D40" s="2">
        <v>15340.8</v>
      </c>
      <c r="E40">
        <v>14577</v>
      </c>
      <c r="F40">
        <v>15355.5</v>
      </c>
      <c r="G40" s="2">
        <v>14577</v>
      </c>
      <c r="H40" s="2">
        <v>15209.9</v>
      </c>
      <c r="I40" s="16">
        <v>15366.607</v>
      </c>
      <c r="J40" s="16">
        <v>15921.647052393451</v>
      </c>
      <c r="K40" s="16">
        <v>16485.349999999999</v>
      </c>
      <c r="L40" s="16">
        <v>17046.576392057719</v>
      </c>
      <c r="M40" s="16">
        <v>16485.349999999999</v>
      </c>
      <c r="N40" s="16">
        <v>16979.72738</v>
      </c>
      <c r="O40" s="16"/>
      <c r="P40" s="16"/>
      <c r="Q40" s="15">
        <v>88.613</v>
      </c>
      <c r="R40" s="15">
        <v>88.613</v>
      </c>
    </row>
    <row r="41" spans="2:18" x14ac:dyDescent="0.25">
      <c r="B41" s="10">
        <v>39814</v>
      </c>
      <c r="C41" s="2">
        <v>14375</v>
      </c>
      <c r="D41" s="2">
        <v>15408.3</v>
      </c>
      <c r="E41">
        <v>14375</v>
      </c>
      <c r="F41">
        <v>15422.8</v>
      </c>
      <c r="G41" s="2">
        <v>14375</v>
      </c>
      <c r="H41" s="2">
        <v>15270</v>
      </c>
      <c r="I41" s="16">
        <v>15187.475</v>
      </c>
      <c r="J41" s="16">
        <v>15983.298522700341</v>
      </c>
      <c r="K41" s="16">
        <v>16298.262000000001</v>
      </c>
      <c r="L41" s="16">
        <v>17114.500177987458</v>
      </c>
      <c r="M41" s="16">
        <v>16298.262000000001</v>
      </c>
      <c r="N41" s="16">
        <v>17050.233619999999</v>
      </c>
      <c r="O41" s="16"/>
      <c r="P41" s="16"/>
      <c r="Q41" s="15">
        <v>88.543000000000006</v>
      </c>
      <c r="R41" s="15">
        <v>88.543000000000006</v>
      </c>
    </row>
    <row r="42" spans="2:18" x14ac:dyDescent="0.25">
      <c r="B42" s="10">
        <v>39904</v>
      </c>
      <c r="C42" s="2">
        <v>14355.6</v>
      </c>
      <c r="D42" s="2">
        <v>15468.8</v>
      </c>
      <c r="E42">
        <v>14355.6</v>
      </c>
      <c r="F42">
        <v>15479.9</v>
      </c>
      <c r="G42" s="2">
        <v>14355.6</v>
      </c>
      <c r="H42" s="2">
        <v>15321.7</v>
      </c>
      <c r="I42" s="16">
        <v>15161.772000000001</v>
      </c>
      <c r="J42" s="16">
        <v>16040.702644623096</v>
      </c>
      <c r="K42" s="16">
        <v>16269.145</v>
      </c>
      <c r="L42" s="16">
        <v>17178.410062824227</v>
      </c>
      <c r="M42" s="16">
        <v>16269.145</v>
      </c>
      <c r="N42" s="16">
        <v>17116.477719999999</v>
      </c>
      <c r="O42" s="16"/>
      <c r="P42" s="16"/>
      <c r="Q42" s="15">
        <v>88.396000000000001</v>
      </c>
      <c r="R42" s="15">
        <v>88.396000000000001</v>
      </c>
    </row>
    <row r="43" spans="2:18" x14ac:dyDescent="0.25">
      <c r="B43" s="10">
        <v>39995</v>
      </c>
      <c r="C43" s="2">
        <v>14402.5</v>
      </c>
      <c r="D43" s="2">
        <v>15525.4</v>
      </c>
      <c r="E43">
        <v>14402.5</v>
      </c>
      <c r="F43">
        <v>15532.4</v>
      </c>
      <c r="G43" s="2">
        <v>14402.5</v>
      </c>
      <c r="H43" s="2">
        <v>15369.1</v>
      </c>
      <c r="I43" s="16">
        <v>15216.647000000001</v>
      </c>
      <c r="J43" s="16">
        <v>16094.741671790714</v>
      </c>
      <c r="K43" s="16">
        <v>16326.281000000001</v>
      </c>
      <c r="L43" s="16">
        <v>17238.915827103265</v>
      </c>
      <c r="M43" s="16">
        <v>16326.281000000001</v>
      </c>
      <c r="N43" s="16">
        <v>17178.970270000002</v>
      </c>
      <c r="O43" s="16"/>
      <c r="P43" s="16"/>
      <c r="Q43" s="15">
        <v>88.501000000000005</v>
      </c>
      <c r="R43" s="15">
        <v>88.501000000000005</v>
      </c>
    </row>
    <row r="44" spans="2:18" x14ac:dyDescent="0.25">
      <c r="B44" s="10">
        <v>40087</v>
      </c>
      <c r="C44" s="2">
        <v>14541.9</v>
      </c>
      <c r="D44" s="2">
        <v>15579.1</v>
      </c>
      <c r="E44">
        <v>14541.9</v>
      </c>
      <c r="F44">
        <v>15581.2</v>
      </c>
      <c r="G44" s="2">
        <v>14541.9</v>
      </c>
      <c r="H44" s="2">
        <v>15413</v>
      </c>
      <c r="I44" s="16">
        <v>15379.155000000001</v>
      </c>
      <c r="J44" s="16">
        <v>16147.063356892382</v>
      </c>
      <c r="K44" s="16">
        <v>16502.754000000001</v>
      </c>
      <c r="L44" s="16">
        <v>17297.998502211558</v>
      </c>
      <c r="M44" s="16">
        <v>16502.754000000001</v>
      </c>
      <c r="N44" s="16">
        <v>17239.531319999998</v>
      </c>
      <c r="O44" s="16"/>
      <c r="P44" s="16"/>
      <c r="Q44" s="15">
        <v>88.781000000000006</v>
      </c>
      <c r="R44" s="15">
        <v>88.781000000000006</v>
      </c>
    </row>
    <row r="45" spans="2:18" x14ac:dyDescent="0.25">
      <c r="B45" s="10">
        <v>40179</v>
      </c>
      <c r="C45" s="2">
        <v>14604.8</v>
      </c>
      <c r="D45" s="2">
        <v>15630.7</v>
      </c>
      <c r="E45">
        <v>14604.8</v>
      </c>
      <c r="F45">
        <v>15624.8</v>
      </c>
      <c r="G45" s="2">
        <v>14604.8</v>
      </c>
      <c r="H45" s="2">
        <v>15452.7</v>
      </c>
      <c r="I45" s="16">
        <v>15456.058999999999</v>
      </c>
      <c r="J45" s="16">
        <v>16199.710242322295</v>
      </c>
      <c r="K45" s="16">
        <v>16582.71</v>
      </c>
      <c r="L45" s="16">
        <v>17357.905980720228</v>
      </c>
      <c r="M45" s="16">
        <v>16582.71</v>
      </c>
      <c r="N45" s="16">
        <v>17300.292150000001</v>
      </c>
      <c r="O45" s="16"/>
      <c r="P45" s="16"/>
      <c r="Q45" s="15">
        <v>89.036000000000001</v>
      </c>
      <c r="R45" s="15">
        <v>89.036000000000001</v>
      </c>
    </row>
    <row r="46" spans="2:18" x14ac:dyDescent="0.25">
      <c r="B46" s="10">
        <v>40269</v>
      </c>
      <c r="C46" s="2">
        <v>14745.9</v>
      </c>
      <c r="D46" s="2">
        <v>15681</v>
      </c>
      <c r="E46">
        <v>14745.9</v>
      </c>
      <c r="F46">
        <v>15669.1</v>
      </c>
      <c r="G46" s="2">
        <v>14745.9</v>
      </c>
      <c r="H46" s="2">
        <v>15491.4</v>
      </c>
      <c r="I46" s="16">
        <v>15605.628000000001</v>
      </c>
      <c r="J46" s="16">
        <v>16253.716157120327</v>
      </c>
      <c r="K46" s="16">
        <v>16743.162</v>
      </c>
      <c r="L46" s="16">
        <v>17419.589716462131</v>
      </c>
      <c r="M46" s="16">
        <v>16743.162</v>
      </c>
      <c r="N46" s="16">
        <v>17362.172180000001</v>
      </c>
      <c r="O46" s="16"/>
      <c r="P46" s="16"/>
      <c r="Q46" s="15">
        <v>89.471000000000004</v>
      </c>
      <c r="R46" s="15">
        <v>89.471000000000004</v>
      </c>
    </row>
    <row r="47" spans="2:18" x14ac:dyDescent="0.25">
      <c r="B47" s="10">
        <v>40360</v>
      </c>
      <c r="C47" s="2">
        <v>14845.5</v>
      </c>
      <c r="D47" s="2">
        <v>15731</v>
      </c>
      <c r="E47">
        <v>14845.5</v>
      </c>
      <c r="F47">
        <v>15713.7</v>
      </c>
      <c r="G47" s="2">
        <v>14845.5</v>
      </c>
      <c r="H47" s="2">
        <v>15530</v>
      </c>
      <c r="I47" s="16">
        <v>15726.281999999999</v>
      </c>
      <c r="J47" s="16">
        <v>16310.447723810714</v>
      </c>
      <c r="K47" s="16">
        <v>16872.266</v>
      </c>
      <c r="L47" s="16">
        <v>17484.478311341583</v>
      </c>
      <c r="M47" s="16">
        <v>16872.266</v>
      </c>
      <c r="N47" s="16">
        <v>17426.505870000001</v>
      </c>
      <c r="O47" s="16"/>
      <c r="P47" s="16"/>
      <c r="Q47" s="15">
        <v>89.742999999999995</v>
      </c>
      <c r="R47" s="15">
        <v>89.742999999999995</v>
      </c>
    </row>
    <row r="48" spans="2:18" x14ac:dyDescent="0.25">
      <c r="B48" s="10">
        <v>40452</v>
      </c>
      <c r="C48" s="2">
        <v>14939</v>
      </c>
      <c r="D48" s="2">
        <v>15781.7</v>
      </c>
      <c r="E48">
        <v>14939</v>
      </c>
      <c r="F48">
        <v>15759.9</v>
      </c>
      <c r="G48" s="2">
        <v>14939</v>
      </c>
      <c r="H48" s="2">
        <v>15569.6</v>
      </c>
      <c r="I48" s="16">
        <v>15807.995000000001</v>
      </c>
      <c r="J48" s="16">
        <v>16369.305151435134</v>
      </c>
      <c r="K48" s="16">
        <v>16960.864000000001</v>
      </c>
      <c r="L48" s="16">
        <v>17551.856970377874</v>
      </c>
      <c r="M48" s="16">
        <v>16960.864000000001</v>
      </c>
      <c r="N48" s="16">
        <v>17492.537189999999</v>
      </c>
      <c r="O48" s="16"/>
      <c r="P48" s="16"/>
      <c r="Q48" s="15">
        <v>90.263999999999996</v>
      </c>
      <c r="R48" s="15">
        <v>90.263999999999996</v>
      </c>
    </row>
    <row r="49" spans="2:18" x14ac:dyDescent="0.25">
      <c r="B49" s="10">
        <v>40544</v>
      </c>
      <c r="C49" s="2">
        <v>14881.3</v>
      </c>
      <c r="D49" s="2">
        <v>15836.2</v>
      </c>
      <c r="E49">
        <v>14881.3</v>
      </c>
      <c r="F49">
        <v>15813.6</v>
      </c>
      <c r="G49" s="2">
        <v>14881.3</v>
      </c>
      <c r="H49" s="2">
        <v>15615</v>
      </c>
      <c r="I49" s="16">
        <v>15769.911</v>
      </c>
      <c r="J49" s="16">
        <v>16430.464766780584</v>
      </c>
      <c r="K49" s="16">
        <v>16920.632000000001</v>
      </c>
      <c r="L49" s="16">
        <v>17621.833112298729</v>
      </c>
      <c r="M49" s="16">
        <v>16920.632000000001</v>
      </c>
      <c r="N49" s="16">
        <v>17560.495500000001</v>
      </c>
      <c r="O49" s="16"/>
      <c r="P49" s="16"/>
      <c r="Q49" s="15">
        <v>90.725999999999999</v>
      </c>
      <c r="R49" s="15">
        <v>90.725999999999999</v>
      </c>
    </row>
    <row r="50" spans="2:18" x14ac:dyDescent="0.25">
      <c r="B50" s="10">
        <v>40634</v>
      </c>
      <c r="C50" s="2">
        <v>14989.6</v>
      </c>
      <c r="D50" s="2">
        <v>15892.5</v>
      </c>
      <c r="E50">
        <v>14989.6</v>
      </c>
      <c r="F50">
        <v>15869.2</v>
      </c>
      <c r="G50" s="2">
        <v>14989.6</v>
      </c>
      <c r="H50" s="2">
        <v>15662.2</v>
      </c>
      <c r="I50" s="16">
        <v>15876.839</v>
      </c>
      <c r="J50" s="16">
        <v>16494.124187380123</v>
      </c>
      <c r="K50" s="16">
        <v>17035.114000000001</v>
      </c>
      <c r="L50" s="16">
        <v>17694.289734496488</v>
      </c>
      <c r="M50" s="16">
        <v>17035.114000000001</v>
      </c>
      <c r="N50" s="16">
        <v>17630.45708</v>
      </c>
      <c r="O50" s="16"/>
      <c r="P50" s="16"/>
      <c r="Q50" s="15">
        <v>91.325999999999993</v>
      </c>
      <c r="R50" s="15">
        <v>91.325999999999993</v>
      </c>
    </row>
    <row r="51" spans="2:18" x14ac:dyDescent="0.25">
      <c r="B51" s="10">
        <v>40725</v>
      </c>
      <c r="C51" s="2">
        <v>15021.1</v>
      </c>
      <c r="D51" s="2">
        <v>15950.5</v>
      </c>
      <c r="E51">
        <v>15021.1</v>
      </c>
      <c r="F51">
        <v>15926.3</v>
      </c>
      <c r="G51" s="2">
        <v>15021.1</v>
      </c>
      <c r="H51" s="2">
        <v>15711.5</v>
      </c>
      <c r="I51" s="16">
        <v>15870.683999999999</v>
      </c>
      <c r="J51" s="16">
        <v>16560.109528317294</v>
      </c>
      <c r="K51" s="16">
        <v>17031.312999999998</v>
      </c>
      <c r="L51" s="16">
        <v>17769.091548927314</v>
      </c>
      <c r="M51" s="16">
        <v>17031.312999999998</v>
      </c>
      <c r="N51" s="16">
        <v>17702.57186</v>
      </c>
      <c r="O51" s="16"/>
      <c r="P51" s="16"/>
      <c r="Q51" s="15">
        <v>91.876000000000005</v>
      </c>
      <c r="R51" s="15">
        <v>91.876000000000005</v>
      </c>
    </row>
    <row r="52" spans="2:18" x14ac:dyDescent="0.25">
      <c r="B52" s="10">
        <v>40817</v>
      </c>
      <c r="C52" s="2">
        <v>15190.3</v>
      </c>
      <c r="D52" s="2">
        <v>16010.1</v>
      </c>
      <c r="E52">
        <v>15190.3</v>
      </c>
      <c r="F52">
        <v>15984.6</v>
      </c>
      <c r="G52" s="2">
        <v>15190.3</v>
      </c>
      <c r="H52" s="2">
        <v>15762.9</v>
      </c>
      <c r="I52" s="16">
        <v>16048.701999999999</v>
      </c>
      <c r="J52" s="16">
        <v>16627.891653548617</v>
      </c>
      <c r="K52" s="16">
        <v>17222.582999999999</v>
      </c>
      <c r="L52" s="16">
        <v>17845.433170509936</v>
      </c>
      <c r="M52" s="16">
        <v>17222.582999999999</v>
      </c>
      <c r="N52" s="16">
        <v>17776.288390000002</v>
      </c>
      <c r="O52" s="16"/>
      <c r="P52" s="16"/>
      <c r="Q52" s="15">
        <v>91.984999999999999</v>
      </c>
      <c r="R52" s="15">
        <v>91.984999999999999</v>
      </c>
    </row>
    <row r="53" spans="2:18" x14ac:dyDescent="0.25">
      <c r="B53" s="10">
        <v>40909</v>
      </c>
      <c r="C53" s="2">
        <v>15275</v>
      </c>
      <c r="D53" s="2">
        <v>16071.5</v>
      </c>
      <c r="E53">
        <v>15291</v>
      </c>
      <c r="F53">
        <v>16041.8</v>
      </c>
      <c r="G53" s="2">
        <v>15291</v>
      </c>
      <c r="H53" s="2">
        <v>15815.8</v>
      </c>
      <c r="I53" s="16">
        <v>16179.968000000001</v>
      </c>
      <c r="J53" s="16">
        <v>16697.390719924417</v>
      </c>
      <c r="K53" s="16">
        <v>17367.009999999998</v>
      </c>
      <c r="L53" s="16">
        <v>17923.095226368296</v>
      </c>
      <c r="M53" s="16">
        <v>17367.009999999998</v>
      </c>
      <c r="N53" s="16">
        <v>17851.548589999999</v>
      </c>
      <c r="O53" s="16"/>
      <c r="P53" s="16"/>
      <c r="Q53" s="15">
        <v>92.525000000000006</v>
      </c>
      <c r="R53" s="15">
        <v>92.525000000000006</v>
      </c>
    </row>
    <row r="54" spans="2:18" x14ac:dyDescent="0.25">
      <c r="B54" s="10">
        <v>41000</v>
      </c>
      <c r="C54" s="2">
        <v>15336.7</v>
      </c>
      <c r="D54" s="2">
        <v>16135.2</v>
      </c>
      <c r="E54">
        <v>15362.4</v>
      </c>
      <c r="F54">
        <v>16100.3</v>
      </c>
      <c r="G54" s="2">
        <v>15362.4</v>
      </c>
      <c r="H54" s="2">
        <v>15871.4</v>
      </c>
      <c r="I54" s="16">
        <v>16253.726000000001</v>
      </c>
      <c r="J54" s="16">
        <v>16768.971178461616</v>
      </c>
      <c r="K54" s="16">
        <v>17444.525000000001</v>
      </c>
      <c r="L54" s="16">
        <v>18002.35699627026</v>
      </c>
      <c r="M54" s="16">
        <v>17444.525000000001</v>
      </c>
      <c r="N54" s="16">
        <v>17928.884300000002</v>
      </c>
      <c r="O54" s="16"/>
      <c r="P54" s="16"/>
      <c r="Q54" s="15">
        <v>92.906999999999996</v>
      </c>
      <c r="R54" s="15">
        <v>92.906999999999996</v>
      </c>
    </row>
    <row r="55" spans="2:18" x14ac:dyDescent="0.25">
      <c r="B55" s="10">
        <v>41091</v>
      </c>
      <c r="C55" s="2">
        <v>15431.3</v>
      </c>
      <c r="D55" s="2">
        <v>16200.1</v>
      </c>
      <c r="E55">
        <v>15380.8</v>
      </c>
      <c r="F55">
        <v>16159.4</v>
      </c>
      <c r="G55" s="2">
        <v>15380.8</v>
      </c>
      <c r="H55" s="2">
        <v>15929</v>
      </c>
      <c r="I55" s="16">
        <v>16282.151</v>
      </c>
      <c r="J55" s="16">
        <v>16842.160314521388</v>
      </c>
      <c r="K55" s="16">
        <v>17469.650000000001</v>
      </c>
      <c r="L55" s="16">
        <v>18082.645749966941</v>
      </c>
      <c r="M55" s="16">
        <v>17469.650000000001</v>
      </c>
      <c r="N55" s="16">
        <v>18007.78469</v>
      </c>
      <c r="O55" s="16"/>
      <c r="P55" s="16"/>
      <c r="Q55" s="15">
        <v>93.417000000000002</v>
      </c>
      <c r="R55" s="15">
        <v>93.417000000000002</v>
      </c>
    </row>
    <row r="56" spans="2:18" x14ac:dyDescent="0.25">
      <c r="B56" s="10">
        <v>41183</v>
      </c>
      <c r="C56" s="2">
        <v>15433.7</v>
      </c>
      <c r="D56" s="2">
        <v>16266</v>
      </c>
      <c r="E56">
        <v>15384.3</v>
      </c>
      <c r="F56">
        <v>16218.9</v>
      </c>
      <c r="G56" s="2">
        <v>15384.3</v>
      </c>
      <c r="H56" s="2">
        <v>15988.3</v>
      </c>
      <c r="I56" s="16">
        <v>16300.035</v>
      </c>
      <c r="J56" s="16">
        <v>16916.653882648665</v>
      </c>
      <c r="K56" s="16">
        <v>17489.851999999999</v>
      </c>
      <c r="L56" s="16">
        <v>18163.79376867256</v>
      </c>
      <c r="M56" s="16">
        <v>17489.851999999999</v>
      </c>
      <c r="N56" s="16">
        <v>18088.028030000001</v>
      </c>
      <c r="O56" s="16"/>
      <c r="P56" s="16"/>
      <c r="Q56" s="15">
        <v>93.885000000000005</v>
      </c>
      <c r="R56" s="15">
        <v>93.885000000000005</v>
      </c>
    </row>
    <row r="57" spans="2:18" x14ac:dyDescent="0.25">
      <c r="B57" s="10">
        <v>41275</v>
      </c>
      <c r="C57" s="2">
        <v>15538.4</v>
      </c>
      <c r="D57" s="2">
        <v>16332.3</v>
      </c>
      <c r="E57">
        <v>15457.2</v>
      </c>
      <c r="F57">
        <v>16279.2</v>
      </c>
      <c r="G57" s="2">
        <v>15491.9</v>
      </c>
      <c r="H57" s="2">
        <v>16049.3</v>
      </c>
      <c r="I57" s="16">
        <v>16441.485000000001</v>
      </c>
      <c r="J57" s="16">
        <v>16992.571486427674</v>
      </c>
      <c r="K57" s="16">
        <v>17662.400000000001</v>
      </c>
      <c r="L57" s="16">
        <v>18246.421371142042</v>
      </c>
      <c r="M57" s="16">
        <v>17662.400000000001</v>
      </c>
      <c r="N57" s="16">
        <v>18170.177759999999</v>
      </c>
      <c r="O57" s="16"/>
      <c r="P57" s="16"/>
      <c r="Q57" s="15">
        <v>94.257999999999996</v>
      </c>
      <c r="R57" s="15">
        <v>94.257999999999996</v>
      </c>
    </row>
    <row r="58" spans="2:18" x14ac:dyDescent="0.25">
      <c r="B58" s="10">
        <v>41365</v>
      </c>
      <c r="C58" s="2">
        <v>15606.6</v>
      </c>
      <c r="D58" s="2">
        <v>16398</v>
      </c>
      <c r="E58">
        <v>15500.2</v>
      </c>
      <c r="F58">
        <v>16338.4</v>
      </c>
      <c r="G58" s="2">
        <v>15521.6</v>
      </c>
      <c r="H58" s="2">
        <v>16111.4</v>
      </c>
      <c r="I58" s="16">
        <v>16464.401999999998</v>
      </c>
      <c r="J58" s="16">
        <v>17069.566062011083</v>
      </c>
      <c r="K58" s="16">
        <v>17709.670999999998</v>
      </c>
      <c r="L58" s="16">
        <v>18329.440468379704</v>
      </c>
      <c r="M58" s="16">
        <v>17709.670999999998</v>
      </c>
      <c r="N58" s="16">
        <v>18253.527559999999</v>
      </c>
      <c r="O58" s="16"/>
      <c r="P58" s="16"/>
      <c r="Q58" s="15">
        <v>94.460999999999999</v>
      </c>
      <c r="R58" s="15">
        <v>94.460999999999999</v>
      </c>
    </row>
    <row r="59" spans="2:18" x14ac:dyDescent="0.25">
      <c r="B59" s="10">
        <v>41456</v>
      </c>
      <c r="C59" s="2">
        <v>15779.9</v>
      </c>
      <c r="D59" s="2">
        <v>16464.2</v>
      </c>
      <c r="E59">
        <v>15614.4</v>
      </c>
      <c r="F59">
        <v>16398.099999999999</v>
      </c>
      <c r="G59" s="2">
        <v>15641.3</v>
      </c>
      <c r="H59" s="2">
        <v>16174.5</v>
      </c>
      <c r="I59" s="16">
        <v>16594.742999999999</v>
      </c>
      <c r="J59" s="16">
        <v>17147.150782277757</v>
      </c>
      <c r="K59" s="16">
        <v>17860.45</v>
      </c>
      <c r="L59" s="16">
        <v>18412.744840976095</v>
      </c>
      <c r="M59" s="16">
        <v>17860.45</v>
      </c>
      <c r="N59" s="16">
        <v>18337.598999999998</v>
      </c>
      <c r="O59" s="16"/>
      <c r="P59" s="16"/>
      <c r="Q59" s="15">
        <v>94.924000000000007</v>
      </c>
      <c r="R59" s="15">
        <v>94.924000000000007</v>
      </c>
    </row>
    <row r="60" spans="2:18" x14ac:dyDescent="0.25">
      <c r="B60" s="10">
        <v>41548</v>
      </c>
      <c r="C60" s="2">
        <v>15916.2</v>
      </c>
      <c r="D60" s="2">
        <v>16531</v>
      </c>
      <c r="E60">
        <v>15761.5</v>
      </c>
      <c r="F60">
        <v>16458.3</v>
      </c>
      <c r="G60" s="2">
        <v>15793.9</v>
      </c>
      <c r="H60" s="2">
        <v>16238.5</v>
      </c>
      <c r="I60" s="16">
        <v>16712.759999999998</v>
      </c>
      <c r="J60" s="16">
        <v>17225.802388399334</v>
      </c>
      <c r="K60" s="16">
        <v>18016.147000000001</v>
      </c>
      <c r="L60" s="16">
        <v>18496.933961338102</v>
      </c>
      <c r="M60" s="16">
        <v>18016.147000000001</v>
      </c>
      <c r="N60" s="16">
        <v>18422.91329</v>
      </c>
      <c r="O60" s="16"/>
      <c r="P60" s="16"/>
      <c r="Q60" s="15">
        <v>95.426000000000002</v>
      </c>
      <c r="R60" s="15">
        <v>95.426000000000002</v>
      </c>
    </row>
    <row r="61" spans="2:18" x14ac:dyDescent="0.25">
      <c r="B61" s="10">
        <v>41640</v>
      </c>
      <c r="C61" s="2">
        <v>15831.7</v>
      </c>
      <c r="D61" s="2">
        <v>16597.8</v>
      </c>
      <c r="E61">
        <v>15724.9</v>
      </c>
      <c r="F61">
        <v>16519</v>
      </c>
      <c r="G61" s="2">
        <v>15747</v>
      </c>
      <c r="H61" s="2">
        <v>16302.5</v>
      </c>
      <c r="I61" s="16">
        <v>16654.246999999999</v>
      </c>
      <c r="J61" s="16">
        <v>17305.419454168063</v>
      </c>
      <c r="K61" s="16">
        <v>17953.973999999998</v>
      </c>
      <c r="L61" s="16">
        <v>18582.016790391182</v>
      </c>
      <c r="M61" s="16">
        <v>17953.973999999998</v>
      </c>
      <c r="N61" s="16">
        <v>18509.442999999999</v>
      </c>
      <c r="O61" s="16"/>
      <c r="P61" s="16"/>
      <c r="Q61" s="15">
        <v>95.787999999999997</v>
      </c>
      <c r="R61" s="15">
        <v>95.787999999999997</v>
      </c>
    </row>
    <row r="62" spans="2:18" x14ac:dyDescent="0.25">
      <c r="B62" s="10">
        <v>41730</v>
      </c>
      <c r="C62" s="2">
        <v>16010.4</v>
      </c>
      <c r="D62" s="2">
        <v>16665.3</v>
      </c>
      <c r="E62">
        <v>15901.5</v>
      </c>
      <c r="F62">
        <v>16581.5</v>
      </c>
      <c r="G62" s="2">
        <v>15900.8</v>
      </c>
      <c r="H62" s="2">
        <v>16367.8</v>
      </c>
      <c r="I62" s="16">
        <v>16868.109</v>
      </c>
      <c r="J62" s="16">
        <v>17385.710529393622</v>
      </c>
      <c r="K62" s="16">
        <v>18185.911</v>
      </c>
      <c r="L62" s="16">
        <v>18667.807863793321</v>
      </c>
      <c r="M62" s="16">
        <v>18185.911</v>
      </c>
      <c r="N62" s="16">
        <v>18597.08684</v>
      </c>
      <c r="O62" s="16"/>
      <c r="P62" s="16"/>
      <c r="Q62" s="15">
        <v>96.33</v>
      </c>
      <c r="R62" s="15">
        <v>96.33</v>
      </c>
    </row>
    <row r="63" spans="2:18" x14ac:dyDescent="0.25">
      <c r="B63" s="10">
        <v>41821</v>
      </c>
      <c r="C63" s="2">
        <v>16150.6</v>
      </c>
      <c r="D63" s="2">
        <v>16734.5</v>
      </c>
      <c r="E63">
        <v>16068.8</v>
      </c>
      <c r="F63">
        <v>16645.8</v>
      </c>
      <c r="G63" s="2">
        <v>16094.5</v>
      </c>
      <c r="H63" s="2">
        <v>16433.7</v>
      </c>
      <c r="I63" s="16">
        <v>17064.616000000002</v>
      </c>
      <c r="J63" s="16">
        <v>17467.54920948041</v>
      </c>
      <c r="K63" s="16">
        <v>18406.940999999999</v>
      </c>
      <c r="L63" s="16">
        <v>18755.213029168317</v>
      </c>
      <c r="M63" s="16">
        <v>18406.940999999999</v>
      </c>
      <c r="N63" s="16">
        <v>18686.78631</v>
      </c>
      <c r="O63" s="16"/>
      <c r="P63" s="16"/>
      <c r="Q63" s="15">
        <v>96.725999999999999</v>
      </c>
      <c r="R63" s="15">
        <v>96.725999999999999</v>
      </c>
    </row>
    <row r="64" spans="2:18" x14ac:dyDescent="0.25">
      <c r="B64" s="10">
        <v>41913</v>
      </c>
      <c r="C64" s="2"/>
      <c r="D64" s="2">
        <v>16805.8</v>
      </c>
      <c r="E64">
        <v>16151.4</v>
      </c>
      <c r="F64">
        <v>16712</v>
      </c>
      <c r="G64" s="2">
        <v>16186.7</v>
      </c>
      <c r="H64" s="2">
        <v>16500.099999999999</v>
      </c>
      <c r="I64" s="16">
        <v>17141.235000000001</v>
      </c>
      <c r="J64" s="16">
        <v>17550.014792008409</v>
      </c>
      <c r="K64" s="16">
        <v>18500.030999999999</v>
      </c>
      <c r="L64" s="16">
        <v>18843.338140242082</v>
      </c>
      <c r="M64" s="16">
        <v>18500.030999999999</v>
      </c>
      <c r="N64" s="16">
        <v>18777.726559999999</v>
      </c>
      <c r="O64" s="16"/>
      <c r="P64" s="16"/>
      <c r="Q64" s="15">
        <v>96.822000000000003</v>
      </c>
      <c r="R64" s="15">
        <v>96.822000000000003</v>
      </c>
    </row>
    <row r="65" spans="2:18" x14ac:dyDescent="0.25">
      <c r="B65" s="10">
        <v>42005</v>
      </c>
      <c r="C65" s="2"/>
      <c r="D65" s="2">
        <v>16880.599999999999</v>
      </c>
      <c r="E65">
        <v>16177.3</v>
      </c>
      <c r="F65">
        <v>16781.7</v>
      </c>
      <c r="G65" s="2">
        <v>16269</v>
      </c>
      <c r="H65" s="2">
        <v>16567.099999999999</v>
      </c>
      <c r="I65" s="16">
        <v>17280.647000000001</v>
      </c>
      <c r="J65" s="16">
        <v>17632.760612537964</v>
      </c>
      <c r="K65" s="16">
        <v>18666.620999999999</v>
      </c>
      <c r="L65" s="16">
        <v>18931.981089988371</v>
      </c>
      <c r="M65" s="16">
        <v>18666.620999999999</v>
      </c>
      <c r="N65" s="16">
        <v>18869.774669999999</v>
      </c>
      <c r="O65" s="16"/>
      <c r="P65" s="16"/>
      <c r="Q65" s="15">
        <v>96.769000000000005</v>
      </c>
      <c r="R65" s="15">
        <v>96.769000000000005</v>
      </c>
    </row>
    <row r="66" spans="2:18" x14ac:dyDescent="0.25">
      <c r="B66" s="10">
        <v>42095</v>
      </c>
      <c r="C66" s="2"/>
      <c r="D66" s="2">
        <v>16958.400000000001</v>
      </c>
      <c r="E66">
        <v>16333.6</v>
      </c>
      <c r="F66">
        <v>16853.099999999999</v>
      </c>
      <c r="G66" s="2">
        <v>16374.2</v>
      </c>
      <c r="H66" s="2">
        <v>16633.900000000001</v>
      </c>
      <c r="I66" s="16">
        <v>17380.875</v>
      </c>
      <c r="J66" s="16">
        <v>17715.601334992039</v>
      </c>
      <c r="K66" s="16">
        <v>18782.242999999999</v>
      </c>
      <c r="L66" s="16">
        <v>19021.10442842243</v>
      </c>
      <c r="M66" s="16">
        <v>18782.242999999999</v>
      </c>
      <c r="N66" s="16">
        <v>18963.01626</v>
      </c>
      <c r="O66" s="16"/>
      <c r="P66" s="16"/>
      <c r="Q66" s="15">
        <v>97.325000000000003</v>
      </c>
      <c r="R66" s="15">
        <v>97.325000000000003</v>
      </c>
    </row>
    <row r="67" spans="2:18" x14ac:dyDescent="0.25">
      <c r="B67" s="10">
        <v>42186</v>
      </c>
      <c r="C67" s="2"/>
      <c r="D67" s="2">
        <v>17038.900000000001</v>
      </c>
      <c r="E67">
        <v>16394.2</v>
      </c>
      <c r="F67">
        <v>16926.5</v>
      </c>
      <c r="G67" s="2">
        <v>16454.900000000001</v>
      </c>
      <c r="H67" s="2">
        <v>16700.599999999999</v>
      </c>
      <c r="I67" s="16">
        <v>17437.080000000002</v>
      </c>
      <c r="J67" s="16">
        <v>17797.91133893585</v>
      </c>
      <c r="K67" s="16">
        <v>18857.418000000001</v>
      </c>
      <c r="L67" s="16">
        <v>19110.070942976239</v>
      </c>
      <c r="M67" s="16">
        <v>18857.418000000001</v>
      </c>
      <c r="N67" s="16">
        <v>19056.838329999999</v>
      </c>
      <c r="O67" s="16"/>
      <c r="P67" s="16"/>
      <c r="Q67" s="15">
        <v>97.582999999999998</v>
      </c>
      <c r="R67" s="15">
        <v>97.582999999999998</v>
      </c>
    </row>
    <row r="68" spans="2:18" x14ac:dyDescent="0.25">
      <c r="B68" s="10">
        <v>42278</v>
      </c>
      <c r="C68" s="2"/>
      <c r="D68" s="2">
        <v>17122.099999999999</v>
      </c>
      <c r="F68">
        <v>17001.8</v>
      </c>
      <c r="G68" s="2">
        <v>16490.7</v>
      </c>
      <c r="H68" s="2">
        <v>16767</v>
      </c>
      <c r="I68" s="16">
        <v>17462.579000000002</v>
      </c>
      <c r="J68" s="16">
        <v>17879.075022707257</v>
      </c>
      <c r="K68" s="16">
        <v>18892.205999999998</v>
      </c>
      <c r="L68" s="16">
        <v>19198.658547372055</v>
      </c>
      <c r="M68" s="16">
        <v>18892.205999999998</v>
      </c>
      <c r="N68" s="16">
        <v>19150.9692</v>
      </c>
      <c r="O68" s="16"/>
      <c r="P68" s="16"/>
      <c r="Q68" s="15">
        <v>97.581000000000003</v>
      </c>
      <c r="R68" s="15">
        <v>97.581000000000003</v>
      </c>
    </row>
    <row r="69" spans="2:18" x14ac:dyDescent="0.25">
      <c r="B69" s="10">
        <v>42370</v>
      </c>
      <c r="C69" s="2"/>
      <c r="D69" s="2">
        <v>17208.099999999999</v>
      </c>
      <c r="F69">
        <v>17078.599999999999</v>
      </c>
      <c r="G69" s="2">
        <v>16525</v>
      </c>
      <c r="H69" s="2">
        <v>16832.400000000001</v>
      </c>
      <c r="I69" s="16">
        <v>17565.465</v>
      </c>
      <c r="J69" s="16">
        <v>17959.524725668442</v>
      </c>
      <c r="K69" s="16">
        <v>19001.689999999999</v>
      </c>
      <c r="L69" s="16">
        <v>19286.925281445569</v>
      </c>
      <c r="M69" s="16">
        <v>19001.689999999999</v>
      </c>
      <c r="N69" s="16">
        <v>19245.222099999999</v>
      </c>
      <c r="O69" s="16"/>
      <c r="P69" s="16"/>
      <c r="Q69" s="15">
        <v>97.495999999999995</v>
      </c>
      <c r="R69" s="15">
        <v>97.495999999999995</v>
      </c>
    </row>
    <row r="70" spans="2:18" x14ac:dyDescent="0.25">
      <c r="B70" s="10">
        <v>42461</v>
      </c>
      <c r="C70" s="2"/>
      <c r="D70" s="2">
        <v>17296.7</v>
      </c>
      <c r="F70">
        <v>17157.599999999999</v>
      </c>
      <c r="G70" s="2">
        <v>16583.099999999999</v>
      </c>
      <c r="H70" s="2">
        <v>16896.8</v>
      </c>
      <c r="I70" s="16">
        <v>17618.580999999998</v>
      </c>
      <c r="J70" s="16">
        <v>18039.058551483766</v>
      </c>
      <c r="K70" s="16">
        <v>19062.708999999999</v>
      </c>
      <c r="L70" s="16">
        <v>19375.150667697071</v>
      </c>
      <c r="M70" s="16">
        <v>19062.708999999999</v>
      </c>
      <c r="N70" s="16">
        <v>19339.744050000001</v>
      </c>
      <c r="O70" s="16"/>
      <c r="P70" s="16"/>
      <c r="Q70" s="15">
        <v>98.159000000000006</v>
      </c>
      <c r="R70" s="15">
        <v>98.159000000000006</v>
      </c>
    </row>
    <row r="71" spans="2:18" x14ac:dyDescent="0.25">
      <c r="B71" s="10">
        <v>42552</v>
      </c>
      <c r="C71" s="2"/>
      <c r="D71" s="2">
        <v>17387.599999999999</v>
      </c>
      <c r="F71">
        <v>17238.900000000001</v>
      </c>
      <c r="G71" s="2">
        <v>16702.099999999999</v>
      </c>
      <c r="H71" s="2">
        <v>16961.099999999999</v>
      </c>
      <c r="I71" s="16">
        <v>17724.489000000001</v>
      </c>
      <c r="J71" s="16">
        <v>18117.649189862594</v>
      </c>
      <c r="K71" s="16">
        <v>19197.937999999998</v>
      </c>
      <c r="L71" s="16">
        <v>19463.204573454474</v>
      </c>
      <c r="M71" s="16">
        <v>19197.937999999998</v>
      </c>
      <c r="N71" s="16">
        <v>19434.06234</v>
      </c>
      <c r="O71" s="16"/>
      <c r="P71" s="16"/>
      <c r="Q71" s="15">
        <v>98.41</v>
      </c>
      <c r="R71" s="15">
        <v>98.41</v>
      </c>
    </row>
    <row r="72" spans="2:18" x14ac:dyDescent="0.25">
      <c r="B72" s="10">
        <v>42644</v>
      </c>
      <c r="D72" s="2">
        <v>17480.5</v>
      </c>
      <c r="F72">
        <v>17322.5</v>
      </c>
      <c r="H72" s="2">
        <v>17025.599999999999</v>
      </c>
      <c r="I72" s="16">
        <v>17812.560000000001</v>
      </c>
      <c r="J72" s="16">
        <v>18195.876939707825</v>
      </c>
      <c r="K72" s="16">
        <v>19304.351999999999</v>
      </c>
      <c r="L72" s="16">
        <v>19551.310617193991</v>
      </c>
      <c r="M72" s="16">
        <v>19304.351999999999</v>
      </c>
      <c r="N72" s="16">
        <v>19528.05803</v>
      </c>
      <c r="O72" s="16"/>
      <c r="P72" s="16"/>
      <c r="Q72" s="15">
        <v>98.885999999999996</v>
      </c>
      <c r="R72" s="15">
        <v>98.885999999999996</v>
      </c>
    </row>
    <row r="73" spans="2:18" x14ac:dyDescent="0.25">
      <c r="B73" s="10">
        <v>42736</v>
      </c>
      <c r="D73" s="2">
        <v>17575</v>
      </c>
      <c r="F73">
        <v>17409.2</v>
      </c>
      <c r="H73" s="2">
        <v>17090.8</v>
      </c>
      <c r="I73" s="16">
        <v>17889.094000000001</v>
      </c>
      <c r="J73" s="16">
        <v>18274.532822062818</v>
      </c>
      <c r="K73" s="16">
        <v>19398.343000000001</v>
      </c>
      <c r="L73" s="16">
        <v>19640.089472818603</v>
      </c>
      <c r="M73" s="16">
        <v>19398.343000000001</v>
      </c>
      <c r="N73" s="16">
        <v>19622.171839999999</v>
      </c>
      <c r="O73" s="16"/>
      <c r="P73" s="16"/>
      <c r="Q73" s="15">
        <v>99.39</v>
      </c>
      <c r="R73" s="15">
        <v>99.39</v>
      </c>
    </row>
    <row r="74" spans="2:18" x14ac:dyDescent="0.25">
      <c r="B74" s="10">
        <v>42826</v>
      </c>
      <c r="D74" s="2">
        <v>17671.7</v>
      </c>
      <c r="F74">
        <v>17499</v>
      </c>
      <c r="H74" s="2">
        <v>17156.7</v>
      </c>
      <c r="I74" s="16">
        <v>17979.218000000001</v>
      </c>
      <c r="J74" s="16">
        <v>18352.950873578</v>
      </c>
      <c r="K74" s="16">
        <v>19506.949000000001</v>
      </c>
      <c r="L74" s="16">
        <v>19730.297923277758</v>
      </c>
      <c r="M74" s="16">
        <v>19506.949000000001</v>
      </c>
      <c r="N74" s="16">
        <v>19717.083849999999</v>
      </c>
      <c r="O74" s="16"/>
      <c r="P74" s="16"/>
      <c r="Q74" s="15">
        <v>99.65</v>
      </c>
      <c r="R74" s="15">
        <v>99.65</v>
      </c>
    </row>
    <row r="75" spans="2:18" x14ac:dyDescent="0.25">
      <c r="B75" s="10">
        <v>42917</v>
      </c>
      <c r="D75" s="2">
        <v>17770</v>
      </c>
      <c r="F75">
        <v>17591</v>
      </c>
      <c r="H75" s="2">
        <v>17223.400000000001</v>
      </c>
      <c r="I75" s="16">
        <v>18127.993999999999</v>
      </c>
      <c r="J75" s="16">
        <v>18433.50352198413</v>
      </c>
      <c r="K75" s="16">
        <v>19660.766</v>
      </c>
      <c r="L75" s="16">
        <v>19823.602552180768</v>
      </c>
      <c r="M75" s="16">
        <v>19660.766</v>
      </c>
      <c r="N75" s="16">
        <v>19814.501609999999</v>
      </c>
      <c r="O75" s="16"/>
      <c r="P75" s="16"/>
      <c r="Q75" s="15">
        <v>100.16200000000001</v>
      </c>
      <c r="R75" s="15">
        <v>100.16200000000001</v>
      </c>
    </row>
    <row r="76" spans="2:18" x14ac:dyDescent="0.25">
      <c r="B76" s="10">
        <v>43009</v>
      </c>
      <c r="D76" s="2"/>
      <c r="F76">
        <v>17685</v>
      </c>
      <c r="H76" s="2">
        <v>17291.400000000001</v>
      </c>
      <c r="I76" s="16">
        <v>18310.3</v>
      </c>
      <c r="J76" s="16">
        <v>18516.076051463522</v>
      </c>
      <c r="K76" s="16">
        <v>19882.351999999999</v>
      </c>
      <c r="L76" s="16">
        <v>19919.841852530961</v>
      </c>
      <c r="M76" s="16">
        <v>19882.351999999999</v>
      </c>
      <c r="N76" s="16">
        <v>19914.267609999999</v>
      </c>
      <c r="O76" s="16"/>
      <c r="P76" s="16"/>
      <c r="Q76" s="15">
        <v>100.77800000000001</v>
      </c>
      <c r="R76" s="15">
        <v>100.77800000000001</v>
      </c>
    </row>
    <row r="77" spans="2:18" x14ac:dyDescent="0.25">
      <c r="B77" s="10">
        <v>43101</v>
      </c>
      <c r="D77" s="2"/>
      <c r="F77">
        <v>17780.599999999999</v>
      </c>
      <c r="H77" s="2">
        <v>17361.400000000001</v>
      </c>
      <c r="I77" s="16">
        <v>18437.127</v>
      </c>
      <c r="J77" s="16">
        <v>18600.542516946021</v>
      </c>
      <c r="K77" s="16">
        <v>20044.077000000001</v>
      </c>
      <c r="L77" s="16">
        <v>20019.170108155347</v>
      </c>
      <c r="M77" s="16">
        <v>20044.077000000001</v>
      </c>
      <c r="N77" s="16">
        <v>20016.543170000001</v>
      </c>
      <c r="O77" s="16"/>
      <c r="P77" s="16"/>
      <c r="Q77" s="15">
        <v>101.419</v>
      </c>
      <c r="R77" s="15">
        <v>101.419</v>
      </c>
    </row>
    <row r="78" spans="2:18" x14ac:dyDescent="0.25">
      <c r="B78" s="10">
        <v>43191</v>
      </c>
      <c r="D78" s="2"/>
      <c r="F78">
        <v>17877.7</v>
      </c>
      <c r="H78" s="2">
        <v>17432.900000000001</v>
      </c>
      <c r="I78" s="16">
        <v>18565.697</v>
      </c>
      <c r="J78" s="16">
        <v>18687.322097031873</v>
      </c>
      <c r="K78" s="16">
        <v>20150.475999999999</v>
      </c>
      <c r="L78" s="16">
        <v>20121.719174325484</v>
      </c>
      <c r="M78" s="16">
        <v>20150.475999999999</v>
      </c>
      <c r="N78" s="16">
        <v>20121.67138</v>
      </c>
      <c r="O78" s="16"/>
      <c r="P78" s="16"/>
      <c r="Q78" s="15">
        <v>102.136</v>
      </c>
      <c r="R78" s="15">
        <v>102.136</v>
      </c>
    </row>
    <row r="79" spans="2:18" x14ac:dyDescent="0.25">
      <c r="B79" s="10">
        <v>43282</v>
      </c>
      <c r="D79" s="2"/>
      <c r="F79">
        <v>17975.900000000001</v>
      </c>
      <c r="H79" s="2">
        <v>17505.900000000001</v>
      </c>
      <c r="I79" s="16">
        <v>18699.748</v>
      </c>
      <c r="J79" s="16">
        <v>18776.099110468444</v>
      </c>
      <c r="K79" s="16">
        <v>20276.153999999999</v>
      </c>
      <c r="L79" s="16">
        <v>20226.065825727994</v>
      </c>
      <c r="M79" s="16">
        <v>20276.153999999999</v>
      </c>
      <c r="N79" s="16">
        <v>20228.129679999998</v>
      </c>
      <c r="O79" s="16"/>
      <c r="P79" s="16"/>
      <c r="Q79" s="15">
        <v>102.577</v>
      </c>
      <c r="R79" s="15">
        <v>102.577</v>
      </c>
    </row>
    <row r="80" spans="2:18" x14ac:dyDescent="0.25">
      <c r="B80" s="10">
        <v>43374</v>
      </c>
      <c r="D80" s="2"/>
      <c r="F80">
        <v>18075.099999999999</v>
      </c>
      <c r="H80" s="2">
        <v>17580.400000000001</v>
      </c>
      <c r="I80" s="16">
        <v>18733.741000000002</v>
      </c>
      <c r="J80" s="16">
        <v>18865.372897453119</v>
      </c>
      <c r="K80" s="16">
        <v>20304.874</v>
      </c>
      <c r="L80" s="16">
        <v>20331.495409344039</v>
      </c>
      <c r="M80" s="16">
        <v>20304.874</v>
      </c>
      <c r="N80" s="16">
        <v>20335.098730000002</v>
      </c>
      <c r="O80" s="16"/>
      <c r="P80" s="16"/>
      <c r="Q80" s="15">
        <v>103.01900000000001</v>
      </c>
      <c r="R80" s="15">
        <v>103.01900000000001</v>
      </c>
    </row>
    <row r="81" spans="2:18" x14ac:dyDescent="0.25">
      <c r="B81" s="10">
        <v>43466</v>
      </c>
      <c r="D81" s="2"/>
      <c r="F81">
        <v>18174.5</v>
      </c>
      <c r="H81" s="2">
        <v>17656.5</v>
      </c>
      <c r="I81" s="16">
        <v>18835.411</v>
      </c>
      <c r="J81" s="16">
        <v>18954.764599505463</v>
      </c>
      <c r="K81" s="16">
        <v>20431.641</v>
      </c>
      <c r="L81" s="16">
        <v>20437.922153625848</v>
      </c>
      <c r="M81" s="16">
        <v>20431.641</v>
      </c>
      <c r="N81" s="16">
        <v>20443.033039999998</v>
      </c>
      <c r="O81" s="16"/>
      <c r="P81" s="16"/>
      <c r="Q81" s="15">
        <v>103.328</v>
      </c>
      <c r="R81" s="15">
        <v>103.328</v>
      </c>
    </row>
    <row r="82" spans="2:18" x14ac:dyDescent="0.25">
      <c r="B82" s="10">
        <v>43556</v>
      </c>
      <c r="D82" s="2"/>
      <c r="F82">
        <v>18275</v>
      </c>
      <c r="H82" s="2">
        <v>17734.2</v>
      </c>
      <c r="I82" s="16">
        <v>18962.174999999999</v>
      </c>
      <c r="J82" s="16">
        <v>19044.881460273402</v>
      </c>
      <c r="K82" s="16">
        <v>20602.275000000001</v>
      </c>
      <c r="L82" s="16">
        <v>20545.449540277205</v>
      </c>
      <c r="M82" s="16">
        <v>20602.275000000001</v>
      </c>
      <c r="N82" s="16">
        <v>20551.11493</v>
      </c>
      <c r="O82" s="16"/>
      <c r="P82" s="16"/>
      <c r="Q82" s="15">
        <v>103.86199999999999</v>
      </c>
      <c r="R82" s="15">
        <v>103.86199999999999</v>
      </c>
    </row>
    <row r="83" spans="2:18" x14ac:dyDescent="0.25">
      <c r="B83" s="10">
        <v>43647</v>
      </c>
      <c r="F83">
        <v>18376.099999999999</v>
      </c>
      <c r="G83" s="3"/>
      <c r="H83" s="3"/>
      <c r="I83" s="16">
        <v>19130.932000000001</v>
      </c>
      <c r="J83" s="16">
        <v>19135.419343657588</v>
      </c>
      <c r="K83" s="16">
        <v>20843.322</v>
      </c>
      <c r="L83" s="16">
        <v>20653.077458118809</v>
      </c>
      <c r="M83" s="16">
        <v>20843.322</v>
      </c>
      <c r="N83" s="16">
        <v>20658.996609999998</v>
      </c>
      <c r="O83" s="16"/>
      <c r="P83" s="16"/>
      <c r="Q83" s="15">
        <v>104.19199999999999</v>
      </c>
      <c r="R83" s="15">
        <v>104.19199999999999</v>
      </c>
    </row>
    <row r="84" spans="2:18" x14ac:dyDescent="0.25">
      <c r="B84" s="10">
        <v>43739</v>
      </c>
      <c r="F84">
        <v>18477.900000000001</v>
      </c>
      <c r="G84" s="3"/>
      <c r="H84" s="3"/>
      <c r="I84" s="16">
        <v>19215.690999999999</v>
      </c>
      <c r="J84" s="16">
        <v>19225.599085747494</v>
      </c>
      <c r="K84" s="16">
        <v>20985.448</v>
      </c>
      <c r="L84" s="16">
        <v>20758.053508750327</v>
      </c>
      <c r="M84" s="16">
        <v>20985.448</v>
      </c>
      <c r="N84" s="16">
        <v>20763.979200000002</v>
      </c>
      <c r="O84" s="16"/>
      <c r="P84" s="16"/>
      <c r="Q84" s="15">
        <v>104.51600000000001</v>
      </c>
      <c r="R84" s="15">
        <v>104.51600000000001</v>
      </c>
    </row>
    <row r="85" spans="2:18" x14ac:dyDescent="0.25">
      <c r="B85" s="10">
        <v>43831</v>
      </c>
      <c r="F85">
        <v>18580.400000000001</v>
      </c>
      <c r="G85" s="3"/>
      <c r="H85" s="3"/>
      <c r="I85" s="16">
        <v>18989.877</v>
      </c>
      <c r="J85" s="16">
        <v>19314.330228562518</v>
      </c>
      <c r="K85" s="16">
        <v>20693.238000000001</v>
      </c>
      <c r="L85" s="16">
        <v>20861.839254959668</v>
      </c>
      <c r="M85" s="16">
        <v>20709.212</v>
      </c>
      <c r="N85" s="16">
        <v>20867.276900000001</v>
      </c>
      <c r="O85" s="16"/>
      <c r="P85" s="16"/>
      <c r="Q85" s="15">
        <v>104.999</v>
      </c>
      <c r="R85" s="15">
        <v>105.032</v>
      </c>
    </row>
    <row r="86" spans="2:18" x14ac:dyDescent="0.25">
      <c r="B86" s="10">
        <v>43922</v>
      </c>
      <c r="F86">
        <v>18683.400000000001</v>
      </c>
      <c r="G86" s="3"/>
      <c r="H86" s="3"/>
      <c r="I86" s="16">
        <v>17378.712</v>
      </c>
      <c r="J86" s="16">
        <v>19399.659424294787</v>
      </c>
      <c r="K86" s="16">
        <v>19056.616999999998</v>
      </c>
      <c r="L86" s="16">
        <v>20965.14022286726</v>
      </c>
      <c r="M86" s="16">
        <v>19077.991999999998</v>
      </c>
      <c r="N86" s="16">
        <v>20970.42195</v>
      </c>
      <c r="O86" s="16"/>
      <c r="P86" s="16"/>
      <c r="Q86" s="15">
        <v>104.61199999999999</v>
      </c>
      <c r="R86" s="15">
        <v>104.614</v>
      </c>
    </row>
    <row r="87" spans="2:18" x14ac:dyDescent="0.25">
      <c r="B87" s="10">
        <v>44013</v>
      </c>
      <c r="F87">
        <v>18786.599999999999</v>
      </c>
      <c r="G87" s="3"/>
      <c r="H87" s="3"/>
      <c r="I87" s="16">
        <v>18743.72</v>
      </c>
      <c r="J87" s="16">
        <v>19477.214282920206</v>
      </c>
      <c r="K87" s="16">
        <v>20548.793000000001</v>
      </c>
      <c r="L87" s="16">
        <v>21065.729188009209</v>
      </c>
      <c r="M87" s="16">
        <v>20558.879000000001</v>
      </c>
      <c r="N87" s="16">
        <v>21071.762630000001</v>
      </c>
      <c r="O87" s="16"/>
      <c r="P87" s="16"/>
      <c r="Q87" s="15">
        <v>105.527</v>
      </c>
      <c r="R87" s="15">
        <v>105.572</v>
      </c>
    </row>
    <row r="88" spans="2:18" x14ac:dyDescent="0.25">
      <c r="B88" s="10">
        <v>44105</v>
      </c>
      <c r="F88">
        <v>18890.099999999999</v>
      </c>
      <c r="G88" s="3"/>
      <c r="H88" s="3"/>
      <c r="I88" s="16">
        <v>18924.261999999999</v>
      </c>
      <c r="J88" s="16">
        <v>19559.271259869762</v>
      </c>
      <c r="K88" s="16">
        <v>20771.690999999999</v>
      </c>
      <c r="L88" s="16">
        <v>21167.089996800521</v>
      </c>
      <c r="M88" s="16">
        <v>20791.917000000001</v>
      </c>
      <c r="N88" s="16">
        <v>21174.33034</v>
      </c>
      <c r="O88" s="16"/>
      <c r="P88" s="16"/>
      <c r="Q88" s="15">
        <v>106.244</v>
      </c>
      <c r="R88" s="15">
        <v>106.23</v>
      </c>
    </row>
    <row r="89" spans="2:18" x14ac:dyDescent="0.25">
      <c r="B89" s="10">
        <v>44197</v>
      </c>
      <c r="F89">
        <v>18993.400000000001</v>
      </c>
      <c r="G89" s="3"/>
      <c r="H89" s="3"/>
      <c r="I89" s="16">
        <v>19216.223999999998</v>
      </c>
      <c r="J89" s="16">
        <v>19644.490000000002</v>
      </c>
      <c r="K89" s="16">
        <v>21058.379000000001</v>
      </c>
      <c r="L89" s="16">
        <v>21261.600036399403</v>
      </c>
      <c r="M89" s="16">
        <v>21082.133999999998</v>
      </c>
      <c r="N89" s="16">
        <v>21277.703150000001</v>
      </c>
      <c r="O89" s="16"/>
      <c r="P89" s="16"/>
      <c r="Q89" s="15">
        <v>107.59</v>
      </c>
      <c r="R89" s="15">
        <v>107.583</v>
      </c>
    </row>
    <row r="90" spans="2:18" x14ac:dyDescent="0.25">
      <c r="B90" s="10">
        <v>44287</v>
      </c>
      <c r="F90">
        <v>19096.599999999999</v>
      </c>
      <c r="G90" s="3"/>
      <c r="H90" s="3"/>
      <c r="I90" s="16">
        <v>19544.248</v>
      </c>
      <c r="J90" s="16">
        <v>19732.990000000002</v>
      </c>
      <c r="K90" s="16">
        <v>21389.005000000001</v>
      </c>
      <c r="L90" s="16">
        <v>21355.977382899266</v>
      </c>
      <c r="M90" s="16">
        <v>21440.929</v>
      </c>
      <c r="N90" s="16">
        <v>21382.898349999999</v>
      </c>
      <c r="O90" s="16"/>
      <c r="P90" s="16"/>
      <c r="Q90" s="15">
        <v>109.256</v>
      </c>
      <c r="R90" s="15">
        <v>109.258</v>
      </c>
    </row>
    <row r="91" spans="2:18" x14ac:dyDescent="0.25">
      <c r="B91" s="10">
        <v>44378</v>
      </c>
      <c r="F91">
        <v>19199.900000000001</v>
      </c>
      <c r="G91" s="3"/>
      <c r="H91" s="3"/>
      <c r="I91" s="16">
        <v>19672.594000000001</v>
      </c>
      <c r="J91" s="16">
        <v>19822.82</v>
      </c>
      <c r="K91" s="16">
        <v>21571.420999999998</v>
      </c>
      <c r="L91" s="16">
        <v>21454.647379006667</v>
      </c>
      <c r="M91" s="16">
        <v>21617.828000000001</v>
      </c>
      <c r="N91" s="16">
        <v>21493.01915</v>
      </c>
      <c r="O91" s="16"/>
      <c r="P91" s="16"/>
      <c r="Q91" s="15">
        <v>110.89700000000001</v>
      </c>
      <c r="R91" s="15">
        <v>110.938</v>
      </c>
    </row>
    <row r="92" spans="2:18" x14ac:dyDescent="0.25">
      <c r="B92" s="10">
        <v>44470</v>
      </c>
      <c r="F92">
        <v>19303.2</v>
      </c>
      <c r="G92" s="3"/>
      <c r="H92" s="3"/>
      <c r="I92" s="16">
        <v>20006.181</v>
      </c>
      <c r="J92" s="16">
        <v>19914.29</v>
      </c>
      <c r="K92" s="16">
        <v>21960.387999999999</v>
      </c>
      <c r="L92" s="16">
        <v>21558.240246488447</v>
      </c>
      <c r="M92" s="16">
        <v>21988.737000000001</v>
      </c>
      <c r="N92" s="16">
        <v>21606.080760000001</v>
      </c>
      <c r="O92" s="16"/>
      <c r="P92" s="16"/>
      <c r="Q92" s="15">
        <v>112.82599999999999</v>
      </c>
      <c r="R92" s="15">
        <v>112.84699999999999</v>
      </c>
    </row>
    <row r="93" spans="2:18" x14ac:dyDescent="0.25">
      <c r="B93" s="10">
        <v>44562</v>
      </c>
      <c r="F93">
        <v>19406.400000000001</v>
      </c>
      <c r="G93" s="3"/>
      <c r="H93" s="3"/>
      <c r="I93" s="16">
        <v>19924.088</v>
      </c>
      <c r="J93" s="16">
        <v>20005.45</v>
      </c>
      <c r="K93" s="16">
        <v>21903.85</v>
      </c>
      <c r="L93" s="16">
        <v>21667.693840715187</v>
      </c>
      <c r="M93" s="16">
        <v>21932.71</v>
      </c>
      <c r="N93" s="16">
        <v>21722.024799999999</v>
      </c>
      <c r="O93" s="16"/>
      <c r="P93" s="16"/>
      <c r="Q93" s="15">
        <v>115.119</v>
      </c>
      <c r="R93" s="15">
        <v>115.126</v>
      </c>
    </row>
    <row r="94" spans="2:18" x14ac:dyDescent="0.25">
      <c r="B94" s="10">
        <v>44652</v>
      </c>
      <c r="F94">
        <v>19509.599999999999</v>
      </c>
      <c r="G94" s="3"/>
      <c r="H94" s="3"/>
      <c r="I94" s="16">
        <v>19895.271000000001</v>
      </c>
      <c r="J94" s="16">
        <v>20101.18</v>
      </c>
      <c r="K94" s="16">
        <v>21919.222000000002</v>
      </c>
      <c r="L94" s="16">
        <v>21780.141105803119</v>
      </c>
      <c r="M94" s="16">
        <v>21967.044999999998</v>
      </c>
      <c r="N94" s="16">
        <v>21840.566360000001</v>
      </c>
      <c r="O94" s="16"/>
      <c r="P94" s="16"/>
      <c r="Q94" s="15">
        <v>117.73099999999999</v>
      </c>
      <c r="R94" s="15">
        <v>117.72799999999999</v>
      </c>
    </row>
    <row r="95" spans="2:18" x14ac:dyDescent="0.25">
      <c r="B95" s="10">
        <v>44743</v>
      </c>
      <c r="F95">
        <v>19612.900000000001</v>
      </c>
      <c r="G95" s="3"/>
      <c r="H95" s="3"/>
      <c r="I95" s="16">
        <v>20021.721000000001</v>
      </c>
      <c r="J95" s="16">
        <v>20197.939999999999</v>
      </c>
      <c r="K95" s="16">
        <v>22066.784</v>
      </c>
      <c r="L95" s="16">
        <v>21892.766608315182</v>
      </c>
      <c r="M95" s="16">
        <v>22125.625</v>
      </c>
      <c r="N95" s="16">
        <v>21961.535080000001</v>
      </c>
      <c r="O95" s="16"/>
      <c r="P95" s="16"/>
      <c r="Q95" s="15">
        <v>119.057</v>
      </c>
      <c r="R95" s="15">
        <v>119.03100000000001</v>
      </c>
    </row>
    <row r="96" spans="2:18" x14ac:dyDescent="0.25">
      <c r="B96" s="10">
        <v>44835</v>
      </c>
      <c r="F96">
        <v>19716.2</v>
      </c>
      <c r="G96" s="3"/>
      <c r="H96" s="3"/>
      <c r="J96" s="16">
        <v>20295.47</v>
      </c>
      <c r="K96" s="16">
        <v>22249.458999999999</v>
      </c>
      <c r="L96" s="16">
        <v>22004.679068190035</v>
      </c>
      <c r="M96" s="16">
        <v>22278.345000000001</v>
      </c>
      <c r="N96" s="16">
        <v>22084.925360000001</v>
      </c>
      <c r="O96" s="16"/>
      <c r="P96" s="16"/>
      <c r="Q96" s="15">
        <v>120.157</v>
      </c>
      <c r="R96" s="15">
        <v>120.164</v>
      </c>
    </row>
    <row r="97" spans="2:18" x14ac:dyDescent="0.25">
      <c r="B97" s="10">
        <v>44927</v>
      </c>
      <c r="F97">
        <v>19819.599999999999</v>
      </c>
      <c r="G97" s="3"/>
      <c r="H97" s="3"/>
      <c r="J97" s="16">
        <v>20393.62</v>
      </c>
      <c r="K97" s="16">
        <v>22403.435000000001</v>
      </c>
      <c r="L97" s="16">
        <v>22116.38</v>
      </c>
      <c r="M97" s="16">
        <v>22439.607</v>
      </c>
      <c r="N97" s="16">
        <v>22208.242539999999</v>
      </c>
      <c r="O97" s="16"/>
      <c r="P97" s="16"/>
      <c r="Q97" s="15">
        <v>121.251</v>
      </c>
      <c r="R97" s="15">
        <v>121.288</v>
      </c>
    </row>
    <row r="98" spans="2:18" x14ac:dyDescent="0.25">
      <c r="B98" s="10">
        <v>45017</v>
      </c>
      <c r="F98">
        <v>19922.8</v>
      </c>
      <c r="G98" s="3"/>
      <c r="H98" s="3"/>
      <c r="J98" s="16">
        <v>20492.060000000001</v>
      </c>
      <c r="K98" s="16">
        <v>22539.418000000001</v>
      </c>
      <c r="L98" s="16">
        <v>22227.57</v>
      </c>
      <c r="M98" s="16">
        <v>22580.499</v>
      </c>
      <c r="N98" s="16">
        <v>22333.112389999998</v>
      </c>
      <c r="O98" s="16"/>
      <c r="P98" s="16"/>
      <c r="Q98" s="15">
        <v>121.804</v>
      </c>
      <c r="R98" s="15">
        <v>121.92</v>
      </c>
    </row>
    <row r="99" spans="2:18" x14ac:dyDescent="0.25">
      <c r="B99" s="10">
        <v>45108</v>
      </c>
      <c r="F99">
        <v>20026.2</v>
      </c>
      <c r="G99" s="3"/>
      <c r="H99" s="3"/>
      <c r="J99" s="16">
        <v>20591.2</v>
      </c>
      <c r="K99" s="16">
        <v>22780.933000000001</v>
      </c>
      <c r="L99" s="16">
        <v>22338.77</v>
      </c>
      <c r="M99" s="16">
        <v>22840.989000000001</v>
      </c>
      <c r="N99" s="16">
        <v>22459.740679999999</v>
      </c>
      <c r="O99" s="16"/>
      <c r="P99" s="16"/>
      <c r="Q99" s="15">
        <v>122.768</v>
      </c>
      <c r="R99" s="15">
        <v>122.914</v>
      </c>
    </row>
    <row r="100" spans="2:18" x14ac:dyDescent="0.25">
      <c r="B100" s="10">
        <v>45200</v>
      </c>
      <c r="F100">
        <v>20129.8</v>
      </c>
      <c r="G100" s="3"/>
      <c r="H100" s="3"/>
      <c r="J100" s="16">
        <v>20690.79</v>
      </c>
      <c r="K100" s="16">
        <v>22960.6</v>
      </c>
      <c r="L100" s="16">
        <v>22452.06</v>
      </c>
      <c r="M100" s="16">
        <v>23033.78</v>
      </c>
      <c r="N100" s="16">
        <v>22588.184590000001</v>
      </c>
      <c r="O100" s="16"/>
      <c r="P100" s="16"/>
      <c r="Q100" s="15">
        <v>123.241</v>
      </c>
      <c r="R100" s="15">
        <v>123.405</v>
      </c>
    </row>
    <row r="101" spans="2:18" x14ac:dyDescent="0.25">
      <c r="B101" s="10">
        <v>45292</v>
      </c>
      <c r="F101">
        <v>20233.7</v>
      </c>
      <c r="G101" s="3"/>
      <c r="H101" s="3"/>
      <c r="J101" s="16">
        <v>20790.79</v>
      </c>
      <c r="K101" s="16">
        <v>23053.544999999998</v>
      </c>
      <c r="L101" s="16">
        <v>22566.61</v>
      </c>
      <c r="M101" s="16">
        <v>23082.118999999999</v>
      </c>
      <c r="N101" s="16">
        <v>22718.13</v>
      </c>
      <c r="O101" s="16"/>
      <c r="P101" s="16"/>
      <c r="Q101" s="15">
        <v>124.163</v>
      </c>
      <c r="R101" s="15">
        <v>124.374</v>
      </c>
    </row>
    <row r="102" spans="2:18" x14ac:dyDescent="0.25">
      <c r="B102" s="10">
        <v>45383</v>
      </c>
      <c r="F102">
        <v>20338.5</v>
      </c>
      <c r="G102" s="3"/>
      <c r="H102" s="3"/>
      <c r="J102" s="16">
        <v>20890.48</v>
      </c>
      <c r="K102" s="16">
        <v>23223.905999999999</v>
      </c>
      <c r="L102" s="16">
        <v>22682.66</v>
      </c>
      <c r="M102" s="16">
        <v>23286.508000000002</v>
      </c>
      <c r="N102" s="16">
        <v>22849.87</v>
      </c>
      <c r="O102" s="16"/>
      <c r="P102" s="16"/>
      <c r="Q102" s="15">
        <v>124.943</v>
      </c>
      <c r="R102" s="15">
        <v>125.167</v>
      </c>
    </row>
    <row r="103" spans="2:18" x14ac:dyDescent="0.25">
      <c r="B103" s="10">
        <v>45474</v>
      </c>
      <c r="F103">
        <v>20443.7</v>
      </c>
      <c r="G103" s="3"/>
      <c r="H103" s="3"/>
      <c r="J103" s="16">
        <v>20989.97</v>
      </c>
      <c r="K103" s="16">
        <v>23386.248</v>
      </c>
      <c r="L103" s="16">
        <v>22800.63</v>
      </c>
      <c r="M103" s="16">
        <v>23478.57</v>
      </c>
      <c r="N103" s="16">
        <v>22981.32</v>
      </c>
      <c r="O103" s="16"/>
      <c r="P103" s="16"/>
      <c r="Q103" s="15">
        <v>125.501</v>
      </c>
      <c r="R103" s="15">
        <v>125.696</v>
      </c>
    </row>
    <row r="104" spans="2:18" x14ac:dyDescent="0.25">
      <c r="B104" s="10">
        <v>45566</v>
      </c>
      <c r="F104">
        <v>20549.099999999999</v>
      </c>
      <c r="G104" s="3"/>
      <c r="H104" s="3"/>
      <c r="J104" s="16">
        <v>21089.27</v>
      </c>
      <c r="K104" s="16"/>
      <c r="L104" s="16">
        <v>22920.27</v>
      </c>
      <c r="M104" s="16">
        <v>23586.542000000001</v>
      </c>
      <c r="N104" s="16">
        <v>23113.34</v>
      </c>
      <c r="O104" s="16"/>
      <c r="P104" s="16"/>
      <c r="R104">
        <v>126.45</v>
      </c>
    </row>
    <row r="105" spans="2:18" x14ac:dyDescent="0.25">
      <c r="B105" s="10">
        <v>45658</v>
      </c>
      <c r="F105">
        <v>20654.900000000001</v>
      </c>
      <c r="G105" s="3"/>
      <c r="H105" s="3"/>
      <c r="J105" s="16">
        <v>21188.34</v>
      </c>
      <c r="K105" s="16"/>
      <c r="L105" s="16">
        <v>23041.94</v>
      </c>
      <c r="M105" s="16">
        <v>23548.21</v>
      </c>
      <c r="N105" s="16">
        <v>23243.22</v>
      </c>
      <c r="O105" s="16"/>
      <c r="P105" s="16"/>
      <c r="R105">
        <v>127.577</v>
      </c>
    </row>
    <row r="106" spans="2:18" x14ac:dyDescent="0.25">
      <c r="B106" s="10">
        <v>45748</v>
      </c>
      <c r="F106">
        <v>20759.900000000001</v>
      </c>
      <c r="G106" s="3"/>
      <c r="H106" s="3"/>
      <c r="J106" s="16">
        <v>21287.1</v>
      </c>
      <c r="K106" s="16"/>
      <c r="L106" s="16">
        <v>23164.48</v>
      </c>
      <c r="M106" s="16">
        <v>23770.975999999999</v>
      </c>
      <c r="N106" s="16">
        <v>23376.07</v>
      </c>
      <c r="O106" s="16"/>
      <c r="P106" s="16"/>
      <c r="R106">
        <v>128.24799999999999</v>
      </c>
    </row>
    <row r="107" spans="2:18" x14ac:dyDescent="0.25">
      <c r="B107" s="10">
        <v>45839</v>
      </c>
      <c r="F107">
        <v>20865</v>
      </c>
      <c r="G107" s="3"/>
      <c r="H107" s="3"/>
      <c r="J107" s="16">
        <v>21385.9</v>
      </c>
      <c r="K107" s="16"/>
      <c r="L107" s="16">
        <v>23288.28</v>
      </c>
      <c r="N107" s="16">
        <v>23510.18</v>
      </c>
      <c r="O107" s="16"/>
      <c r="P107" s="16"/>
    </row>
    <row r="108" spans="2:18" x14ac:dyDescent="0.25">
      <c r="B108" s="10">
        <v>45931</v>
      </c>
      <c r="F108">
        <v>20970.2</v>
      </c>
      <c r="G108" s="10"/>
      <c r="J108" s="16">
        <v>21484.639999999999</v>
      </c>
      <c r="K108" s="16"/>
      <c r="L108" s="16">
        <v>23413.13</v>
      </c>
      <c r="N108" s="16">
        <v>23644.63</v>
      </c>
      <c r="O108" s="16"/>
      <c r="P108" s="16"/>
    </row>
    <row r="109" spans="2:18" x14ac:dyDescent="0.25">
      <c r="B109" s="10">
        <v>46023</v>
      </c>
      <c r="G109" s="10"/>
      <c r="J109" s="16">
        <v>21583.279999999999</v>
      </c>
      <c r="K109" s="16"/>
      <c r="L109" s="16">
        <v>23537.99</v>
      </c>
      <c r="N109" s="16">
        <v>23778.89</v>
      </c>
      <c r="O109" s="16"/>
      <c r="P109" s="16"/>
    </row>
    <row r="110" spans="2:18" x14ac:dyDescent="0.25">
      <c r="B110" s="10">
        <v>46113</v>
      </c>
      <c r="G110" s="10"/>
      <c r="J110" s="16">
        <v>21681.52</v>
      </c>
      <c r="K110" s="16"/>
      <c r="L110" s="16">
        <v>23662.93</v>
      </c>
      <c r="N110" s="16">
        <v>23912.77</v>
      </c>
      <c r="O110" s="16"/>
      <c r="P110" s="16"/>
    </row>
    <row r="111" spans="2:18" x14ac:dyDescent="0.25">
      <c r="B111" s="10">
        <v>46204</v>
      </c>
      <c r="G111" s="10"/>
      <c r="J111" s="16">
        <v>21779.48</v>
      </c>
      <c r="K111" s="16"/>
      <c r="L111" s="16">
        <v>23787.67</v>
      </c>
      <c r="N111" s="16">
        <v>24046.37</v>
      </c>
      <c r="O111" s="16"/>
      <c r="P111" s="16"/>
    </row>
    <row r="112" spans="2:18" x14ac:dyDescent="0.25">
      <c r="B112" s="10">
        <v>46296</v>
      </c>
      <c r="G112" s="10"/>
      <c r="J112" s="16">
        <v>21877.360000000001</v>
      </c>
      <c r="K112" s="16"/>
      <c r="L112" s="16">
        <v>23912.240000000002</v>
      </c>
      <c r="N112" s="16">
        <v>24179.8</v>
      </c>
      <c r="O112" s="16"/>
      <c r="P112" s="16"/>
    </row>
    <row r="113" spans="2:16" x14ac:dyDescent="0.25">
      <c r="B113" s="10">
        <v>46388</v>
      </c>
      <c r="G113" s="10"/>
      <c r="J113" s="16">
        <v>21975.23</v>
      </c>
      <c r="K113" s="16"/>
      <c r="L113" s="16">
        <v>24037.13</v>
      </c>
      <c r="N113" s="16">
        <v>24312.91</v>
      </c>
      <c r="O113" s="16"/>
      <c r="P113" s="16"/>
    </row>
    <row r="114" spans="2:16" x14ac:dyDescent="0.25">
      <c r="B114" s="10">
        <v>46478</v>
      </c>
      <c r="G114" s="10"/>
      <c r="J114" s="16">
        <v>22072.85</v>
      </c>
      <c r="K114" s="16"/>
      <c r="L114" s="16">
        <v>24160.85</v>
      </c>
      <c r="N114" s="16">
        <v>24445.5</v>
      </c>
      <c r="O114" s="16"/>
      <c r="P114" s="16"/>
    </row>
    <row r="115" spans="2:16" x14ac:dyDescent="0.25">
      <c r="B115" s="10">
        <v>46569</v>
      </c>
      <c r="G115" s="10"/>
      <c r="J115" s="16">
        <v>22170.42</v>
      </c>
      <c r="K115" s="16"/>
      <c r="L115" s="16">
        <v>24284.17</v>
      </c>
      <c r="N115" s="16">
        <v>24577.97</v>
      </c>
      <c r="O115" s="16"/>
      <c r="P115" s="16"/>
    </row>
    <row r="116" spans="2:16" x14ac:dyDescent="0.25">
      <c r="B116" s="10">
        <v>46661</v>
      </c>
      <c r="G116" s="10"/>
      <c r="J116" s="16">
        <v>22268.1</v>
      </c>
      <c r="K116" s="16"/>
      <c r="L116" s="16">
        <v>24407.17</v>
      </c>
      <c r="N116" s="16">
        <v>24710.19</v>
      </c>
      <c r="O116" s="16"/>
      <c r="P116" s="16"/>
    </row>
    <row r="117" spans="2:16" x14ac:dyDescent="0.25">
      <c r="B117" s="10">
        <v>46753</v>
      </c>
      <c r="G117" s="10"/>
      <c r="J117" s="16">
        <v>22365.98</v>
      </c>
      <c r="K117" s="16"/>
      <c r="L117" s="16">
        <v>24529.51</v>
      </c>
      <c r="N117" s="16">
        <v>24842.2</v>
      </c>
      <c r="O117" s="16"/>
      <c r="P117" s="16"/>
    </row>
    <row r="118" spans="2:16" x14ac:dyDescent="0.25">
      <c r="B118" s="10">
        <v>46844</v>
      </c>
      <c r="G118" s="10"/>
      <c r="J118" s="16">
        <v>22464.41</v>
      </c>
      <c r="K118" s="16"/>
      <c r="L118" s="16">
        <v>24652.77</v>
      </c>
      <c r="N118" s="16">
        <v>24974.37</v>
      </c>
      <c r="O118" s="16"/>
      <c r="P118" s="16"/>
    </row>
    <row r="119" spans="2:16" x14ac:dyDescent="0.25">
      <c r="B119" s="10">
        <v>46935</v>
      </c>
      <c r="G119" s="10"/>
      <c r="J119" s="16">
        <v>22563.27</v>
      </c>
      <c r="K119" s="16"/>
      <c r="L119" s="16">
        <v>24776.37</v>
      </c>
      <c r="N119" s="16">
        <v>25106.47</v>
      </c>
      <c r="O119" s="16"/>
      <c r="P119" s="16"/>
    </row>
    <row r="120" spans="2:16" x14ac:dyDescent="0.25">
      <c r="B120" s="10">
        <v>47027</v>
      </c>
      <c r="G120" s="10"/>
      <c r="J120" s="16">
        <v>22662.71</v>
      </c>
      <c r="K120" s="16"/>
      <c r="L120" s="16">
        <v>24900.25</v>
      </c>
      <c r="N120" s="16">
        <v>25238.27</v>
      </c>
      <c r="O120" s="16"/>
      <c r="P120" s="16"/>
    </row>
    <row r="121" spans="2:16" x14ac:dyDescent="0.25">
      <c r="B121" s="10">
        <v>47119</v>
      </c>
      <c r="G121" s="10"/>
      <c r="J121" s="16">
        <v>22762.78</v>
      </c>
      <c r="K121" s="16"/>
      <c r="L121" s="16">
        <v>25024.240000000002</v>
      </c>
      <c r="N121" s="16">
        <v>25369.759999999998</v>
      </c>
      <c r="O121" s="16"/>
      <c r="P121" s="16"/>
    </row>
    <row r="122" spans="2:16" x14ac:dyDescent="0.25">
      <c r="B122" s="10">
        <v>47209</v>
      </c>
      <c r="G122" s="10"/>
      <c r="J122" s="16">
        <v>22863.51</v>
      </c>
      <c r="K122" s="16"/>
      <c r="L122" s="16">
        <v>25148.48</v>
      </c>
      <c r="N122" s="16">
        <v>25500.89</v>
      </c>
      <c r="O122" s="16"/>
      <c r="P122" s="16"/>
    </row>
    <row r="123" spans="2:16" x14ac:dyDescent="0.25">
      <c r="B123" s="10">
        <v>47300</v>
      </c>
      <c r="G123" s="10"/>
      <c r="J123" s="16">
        <v>22964.27</v>
      </c>
      <c r="K123" s="16"/>
      <c r="L123" s="16">
        <v>25272.42</v>
      </c>
      <c r="N123" s="16">
        <v>25631.06</v>
      </c>
      <c r="O123" s="16"/>
      <c r="P123" s="16"/>
    </row>
    <row r="124" spans="2:16" x14ac:dyDescent="0.25">
      <c r="B124" s="10">
        <v>47392</v>
      </c>
      <c r="G124" s="10"/>
      <c r="J124" s="16">
        <v>23065.07</v>
      </c>
      <c r="K124" s="16"/>
      <c r="L124" s="16">
        <v>25395.75</v>
      </c>
      <c r="N124" s="16">
        <v>25760.37</v>
      </c>
      <c r="O124" s="16"/>
      <c r="P124" s="16"/>
    </row>
    <row r="125" spans="2:16" x14ac:dyDescent="0.25">
      <c r="B125" s="10">
        <v>47484</v>
      </c>
      <c r="G125" s="10"/>
      <c r="J125" s="16">
        <v>23165.98</v>
      </c>
      <c r="K125" s="16"/>
      <c r="L125" s="16">
        <v>25518.42</v>
      </c>
      <c r="N125" s="16">
        <v>25888.959999999999</v>
      </c>
      <c r="O125" s="16"/>
      <c r="P125" s="16"/>
    </row>
    <row r="126" spans="2:16" x14ac:dyDescent="0.25">
      <c r="B126" s="10">
        <v>47574</v>
      </c>
      <c r="G126" s="10"/>
      <c r="J126" s="16">
        <v>23267.08</v>
      </c>
      <c r="K126" s="16"/>
      <c r="L126" s="16">
        <v>25640.5</v>
      </c>
      <c r="N126" s="16">
        <v>26016.78</v>
      </c>
      <c r="O126" s="16"/>
      <c r="P126" s="16"/>
    </row>
    <row r="127" spans="2:16" x14ac:dyDescent="0.25">
      <c r="B127" s="10">
        <v>47665</v>
      </c>
      <c r="G127" s="10"/>
      <c r="J127" s="16">
        <v>23368.31</v>
      </c>
      <c r="K127" s="16"/>
      <c r="L127" s="16">
        <v>25762.3</v>
      </c>
      <c r="N127" s="16">
        <v>26143.919999999998</v>
      </c>
      <c r="O127" s="16"/>
      <c r="P127" s="16"/>
    </row>
    <row r="128" spans="2:16" x14ac:dyDescent="0.25">
      <c r="B128" s="10">
        <v>47757</v>
      </c>
      <c r="G128" s="10"/>
      <c r="J128" s="16">
        <v>23469.66</v>
      </c>
      <c r="K128" s="16"/>
      <c r="L128" s="16">
        <v>25883.919999999998</v>
      </c>
      <c r="N128" s="16">
        <v>26270.55</v>
      </c>
      <c r="O128" s="16"/>
      <c r="P128" s="16"/>
    </row>
    <row r="129" spans="2:16" x14ac:dyDescent="0.25">
      <c r="B129" s="10">
        <v>47849</v>
      </c>
      <c r="G129" s="10"/>
      <c r="J129" s="16">
        <v>23571.200000000001</v>
      </c>
      <c r="K129" s="16"/>
      <c r="L129" s="16">
        <v>26005.13</v>
      </c>
      <c r="N129" s="16">
        <v>26396.94</v>
      </c>
      <c r="O129" s="16"/>
      <c r="P129" s="16"/>
    </row>
    <row r="130" spans="2:16" x14ac:dyDescent="0.25">
      <c r="B130" s="10">
        <v>47939</v>
      </c>
      <c r="G130" s="10"/>
      <c r="J130" s="16">
        <v>23672.91</v>
      </c>
      <c r="K130" s="16"/>
      <c r="L130" s="16">
        <v>26126.15</v>
      </c>
      <c r="N130" s="16">
        <v>26523.07</v>
      </c>
      <c r="O130" s="16"/>
      <c r="P130" s="16"/>
    </row>
    <row r="131" spans="2:16" x14ac:dyDescent="0.25">
      <c r="B131" s="10">
        <v>48030</v>
      </c>
      <c r="G131" s="10"/>
      <c r="J131" s="16">
        <v>23774.75</v>
      </c>
      <c r="K131" s="16"/>
      <c r="L131" s="16">
        <v>26246.97</v>
      </c>
      <c r="N131" s="16">
        <v>26648.83</v>
      </c>
      <c r="O131" s="16"/>
      <c r="P131" s="16"/>
    </row>
    <row r="132" spans="2:16" x14ac:dyDescent="0.25">
      <c r="B132" s="10">
        <v>48122</v>
      </c>
      <c r="G132" s="10"/>
      <c r="J132" s="16">
        <v>23876.74</v>
      </c>
      <c r="K132" s="16"/>
      <c r="L132" s="16">
        <v>26367.56</v>
      </c>
      <c r="N132" s="16">
        <v>26774.35</v>
      </c>
      <c r="O132" s="16"/>
      <c r="P132" s="16"/>
    </row>
    <row r="133" spans="2:16" x14ac:dyDescent="0.25">
      <c r="B133" s="10">
        <v>48214</v>
      </c>
      <c r="G133" s="10"/>
      <c r="J133" s="16">
        <v>23978.93</v>
      </c>
      <c r="K133" s="16"/>
      <c r="L133" s="16">
        <v>26487.91</v>
      </c>
      <c r="N133" s="16">
        <v>26899.74</v>
      </c>
      <c r="O133" s="16"/>
      <c r="P133" s="16"/>
    </row>
    <row r="134" spans="2:16" x14ac:dyDescent="0.25">
      <c r="B134" s="10">
        <v>48305</v>
      </c>
      <c r="G134" s="10"/>
      <c r="J134" s="16">
        <v>24081.32</v>
      </c>
      <c r="K134" s="16"/>
      <c r="L134" s="16">
        <v>26608.15</v>
      </c>
      <c r="N134" s="16">
        <v>27024.61</v>
      </c>
      <c r="O134" s="16"/>
      <c r="P134" s="16"/>
    </row>
    <row r="135" spans="2:16" x14ac:dyDescent="0.25">
      <c r="B135" s="10">
        <v>48396</v>
      </c>
      <c r="G135" s="10"/>
      <c r="J135" s="16">
        <v>24183.71</v>
      </c>
      <c r="K135" s="16"/>
      <c r="L135" s="16">
        <v>26728.19</v>
      </c>
      <c r="N135" s="16">
        <v>27148.95</v>
      </c>
      <c r="O135" s="16"/>
      <c r="P135" s="16"/>
    </row>
    <row r="136" spans="2:16" x14ac:dyDescent="0.25">
      <c r="B136" s="10">
        <v>48488</v>
      </c>
      <c r="G136" s="10"/>
      <c r="J136" s="16">
        <v>24286.07</v>
      </c>
      <c r="K136" s="16"/>
      <c r="L136" s="16">
        <v>26848.01</v>
      </c>
      <c r="N136" s="16">
        <v>27273.05</v>
      </c>
      <c r="O136" s="16"/>
      <c r="P136" s="16"/>
    </row>
    <row r="137" spans="2:16" x14ac:dyDescent="0.25">
      <c r="B137" s="10">
        <v>48580</v>
      </c>
      <c r="G137" s="10"/>
      <c r="K137" s="16"/>
      <c r="L137" s="16">
        <v>26967.67</v>
      </c>
      <c r="N137" s="16">
        <v>27395.759999999998</v>
      </c>
      <c r="O137" s="16"/>
      <c r="P137" s="16"/>
    </row>
    <row r="138" spans="2:16" x14ac:dyDescent="0.25">
      <c r="B138" s="10">
        <v>48670</v>
      </c>
      <c r="K138" s="16"/>
      <c r="L138" s="16">
        <v>27087.21</v>
      </c>
      <c r="N138" s="16">
        <v>27520.11</v>
      </c>
      <c r="O138" s="16"/>
      <c r="P138" s="16"/>
    </row>
    <row r="139" spans="2:16" x14ac:dyDescent="0.25">
      <c r="B139" s="10">
        <v>48761</v>
      </c>
      <c r="K139" s="16"/>
      <c r="L139" s="16">
        <v>27206.7</v>
      </c>
      <c r="N139" s="16">
        <v>27644.47</v>
      </c>
      <c r="O139" s="16"/>
      <c r="P139" s="16"/>
    </row>
    <row r="140" spans="2:16" x14ac:dyDescent="0.25">
      <c r="B140" s="10">
        <v>48853</v>
      </c>
      <c r="K140" s="16"/>
      <c r="L140" s="16">
        <v>27326.18</v>
      </c>
      <c r="N140" s="16">
        <v>27768.74</v>
      </c>
      <c r="O140" s="16"/>
      <c r="P140" s="16"/>
    </row>
    <row r="141" spans="2:16" x14ac:dyDescent="0.25">
      <c r="B141" s="10">
        <v>48945</v>
      </c>
      <c r="K141" s="16"/>
      <c r="L141" s="16">
        <v>27445.78</v>
      </c>
      <c r="N141" s="16">
        <v>27892.720000000001</v>
      </c>
      <c r="O141" s="16"/>
      <c r="P141" s="16"/>
    </row>
    <row r="142" spans="2:16" x14ac:dyDescent="0.25">
      <c r="B142" s="10">
        <v>49035</v>
      </c>
      <c r="K142" s="16"/>
      <c r="L142" s="16">
        <v>27565.360000000001</v>
      </c>
      <c r="N142" s="16">
        <v>28016.45</v>
      </c>
      <c r="O142" s="16"/>
      <c r="P142" s="16"/>
    </row>
    <row r="143" spans="2:16" x14ac:dyDescent="0.25">
      <c r="B143" s="10">
        <v>49126</v>
      </c>
      <c r="K143" s="16"/>
      <c r="L143" s="16">
        <v>27684.89</v>
      </c>
      <c r="N143" s="16">
        <v>28140.02</v>
      </c>
      <c r="O143" s="16"/>
      <c r="P143" s="16"/>
    </row>
    <row r="144" spans="2:16" x14ac:dyDescent="0.25">
      <c r="B144" s="10">
        <v>49218</v>
      </c>
      <c r="K144" s="16"/>
      <c r="L144" s="16">
        <v>27804.37</v>
      </c>
      <c r="N144" s="16">
        <v>28263.47</v>
      </c>
      <c r="O144" s="16"/>
      <c r="P144" s="16"/>
    </row>
    <row r="145" spans="2:14" x14ac:dyDescent="0.25">
      <c r="B145" s="10">
        <v>49310</v>
      </c>
      <c r="N145" s="16">
        <v>28387.01</v>
      </c>
    </row>
    <row r="146" spans="2:14" x14ac:dyDescent="0.25">
      <c r="B146" s="10">
        <v>49400</v>
      </c>
      <c r="N146" s="16">
        <v>28510.69</v>
      </c>
    </row>
    <row r="147" spans="2:14" x14ac:dyDescent="0.25">
      <c r="B147" s="10">
        <v>49491</v>
      </c>
      <c r="N147" s="16">
        <v>28634.31</v>
      </c>
    </row>
    <row r="148" spans="2:14" x14ac:dyDescent="0.25">
      <c r="B148" s="10">
        <v>49583</v>
      </c>
      <c r="N148" s="16">
        <v>28757.74</v>
      </c>
    </row>
    <row r="149" spans="2:14" x14ac:dyDescent="0.25">
      <c r="B149" s="10">
        <v>49675</v>
      </c>
    </row>
    <row r="150" spans="2:14" x14ac:dyDescent="0.25">
      <c r="B150" s="10">
        <v>49766</v>
      </c>
    </row>
    <row r="151" spans="2:14" x14ac:dyDescent="0.25">
      <c r="B151" s="10">
        <v>49857</v>
      </c>
    </row>
    <row r="152" spans="2:14" x14ac:dyDescent="0.25">
      <c r="B152" s="10">
        <v>49949</v>
      </c>
    </row>
    <row r="153" spans="2:14" x14ac:dyDescent="0.25">
      <c r="B153" s="10">
        <v>50041</v>
      </c>
    </row>
    <row r="154" spans="2:14" x14ac:dyDescent="0.25">
      <c r="B154" s="10">
        <v>50131</v>
      </c>
    </row>
    <row r="155" spans="2:14" x14ac:dyDescent="0.25">
      <c r="B155" s="10">
        <v>50222</v>
      </c>
    </row>
    <row r="156" spans="2:14" x14ac:dyDescent="0.25">
      <c r="B156" s="10">
        <v>50314</v>
      </c>
    </row>
    <row r="157" spans="2:14" x14ac:dyDescent="0.25">
      <c r="B157" s="10">
        <v>50406</v>
      </c>
    </row>
    <row r="158" spans="2:14" x14ac:dyDescent="0.25">
      <c r="B158" s="10">
        <v>50496</v>
      </c>
    </row>
    <row r="159" spans="2:14" x14ac:dyDescent="0.25">
      <c r="B159" s="10">
        <v>50587</v>
      </c>
    </row>
    <row r="160" spans="2:14" x14ac:dyDescent="0.25">
      <c r="B160" s="10">
        <v>50679</v>
      </c>
    </row>
    <row r="161" spans="2:2" x14ac:dyDescent="0.25">
      <c r="B161" s="10">
        <v>50771</v>
      </c>
    </row>
    <row r="162" spans="2:2" x14ac:dyDescent="0.25">
      <c r="B162" s="10">
        <v>50861</v>
      </c>
    </row>
    <row r="163" spans="2:2" x14ac:dyDescent="0.25">
      <c r="B163" s="10">
        <v>50952</v>
      </c>
    </row>
    <row r="164" spans="2:2" x14ac:dyDescent="0.25">
      <c r="B164" s="10">
        <v>51044</v>
      </c>
    </row>
    <row r="165" spans="2:2" x14ac:dyDescent="0.25">
      <c r="B165" s="10">
        <v>51136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6DB4-9341-421C-9853-C3F9F803D0B7}">
  <dimension ref="A1:T137"/>
  <sheetViews>
    <sheetView workbookViewId="0">
      <selection activeCell="I2" sqref="I2"/>
    </sheetView>
  </sheetViews>
  <sheetFormatPr defaultRowHeight="13.2" x14ac:dyDescent="0.25"/>
  <cols>
    <col min="8" max="9" width="8.88671875" style="11"/>
    <col min="10" max="15" width="8.88671875" style="13"/>
  </cols>
  <sheetData>
    <row r="1" spans="1:20" x14ac:dyDescent="0.25">
      <c r="A1" t="s">
        <v>9</v>
      </c>
      <c r="B1" t="s">
        <v>22</v>
      </c>
      <c r="C1" t="s">
        <v>21</v>
      </c>
      <c r="D1" t="s">
        <v>24</v>
      </c>
      <c r="E1" t="s">
        <v>23</v>
      </c>
      <c r="F1" t="s">
        <v>26</v>
      </c>
      <c r="G1" t="s">
        <v>25</v>
      </c>
      <c r="H1" s="11" t="s">
        <v>27</v>
      </c>
      <c r="I1" s="11" t="s">
        <v>28</v>
      </c>
      <c r="J1" s="13" t="s">
        <v>22</v>
      </c>
      <c r="K1" s="13" t="s">
        <v>21</v>
      </c>
      <c r="L1" s="13" t="s">
        <v>24</v>
      </c>
      <c r="M1" s="13" t="s">
        <v>23</v>
      </c>
      <c r="N1" s="13" t="s">
        <v>26</v>
      </c>
      <c r="O1" s="13" t="s">
        <v>25</v>
      </c>
      <c r="R1" t="s">
        <v>29</v>
      </c>
      <c r="S1" t="s">
        <v>29</v>
      </c>
      <c r="T1" t="s">
        <v>30</v>
      </c>
    </row>
    <row r="2" spans="1:20" x14ac:dyDescent="0.25">
      <c r="A2" s="10">
        <v>36526</v>
      </c>
      <c r="B2" s="2">
        <v>12359.1</v>
      </c>
      <c r="C2" s="2">
        <v>12062</v>
      </c>
      <c r="D2">
        <v>12359.1</v>
      </c>
      <c r="E2">
        <v>12123.7</v>
      </c>
      <c r="F2" s="2">
        <v>12359.1</v>
      </c>
      <c r="G2" s="2">
        <v>12136.5</v>
      </c>
      <c r="H2" s="12">
        <v>12935.252</v>
      </c>
      <c r="I2" s="12">
        <v>12756.197799291815</v>
      </c>
      <c r="J2" s="13">
        <f t="shared" ref="J2:J33" si="0">B2*$T$2</f>
        <v>12925.229452115156</v>
      </c>
      <c r="K2" s="13">
        <f t="shared" ref="K2:K65" si="1">C2*$T$2</f>
        <v>12614.520284762888</v>
      </c>
      <c r="L2" s="13">
        <f t="shared" ref="L2:L33" si="2">D2*$T$2</f>
        <v>12925.229452115156</v>
      </c>
      <c r="M2" s="13">
        <f t="shared" ref="M2:M65" si="3">E2*$T$2</f>
        <v>12679.046557484649</v>
      </c>
      <c r="N2" s="13">
        <f t="shared" ref="N2:N65" si="4">F2*$T$2</f>
        <v>12925.229452115156</v>
      </c>
      <c r="O2" s="13">
        <f t="shared" ref="O2:O65" si="5">G2*$T$2</f>
        <v>12692.432883106019</v>
      </c>
      <c r="R2">
        <f>H2/F2</f>
        <v>1.0466176339701112</v>
      </c>
      <c r="S2">
        <f>I2/G2</f>
        <v>1.0510606681738404</v>
      </c>
      <c r="T2">
        <f>AVERAGE(R2:R27)</f>
        <v>1.0458066891695315</v>
      </c>
    </row>
    <row r="3" spans="1:20" x14ac:dyDescent="0.25">
      <c r="A3" s="10">
        <v>36617</v>
      </c>
      <c r="B3" s="2">
        <v>12592.5</v>
      </c>
      <c r="C3" s="2">
        <v>12171.2</v>
      </c>
      <c r="D3">
        <v>12592.5</v>
      </c>
      <c r="E3">
        <v>12232.3</v>
      </c>
      <c r="F3" s="2">
        <v>12592.5</v>
      </c>
      <c r="G3" s="2">
        <v>12243.8</v>
      </c>
      <c r="H3" s="12">
        <v>13170.749</v>
      </c>
      <c r="I3" s="12">
        <v>12885.549542919041</v>
      </c>
      <c r="J3" s="13">
        <f t="shared" si="0"/>
        <v>13169.320733367325</v>
      </c>
      <c r="K3" s="13">
        <f t="shared" si="1"/>
        <v>12728.722375220203</v>
      </c>
      <c r="L3" s="13">
        <f t="shared" si="2"/>
        <v>13169.320733367325</v>
      </c>
      <c r="M3" s="13">
        <f t="shared" si="3"/>
        <v>12792.621163928459</v>
      </c>
      <c r="N3" s="13">
        <f t="shared" si="4"/>
        <v>13169.320733367325</v>
      </c>
      <c r="O3" s="13">
        <f t="shared" si="5"/>
        <v>12804.647940853909</v>
      </c>
      <c r="R3">
        <f t="shared" ref="R3:R66" si="6">H3/F3</f>
        <v>1.045920111177288</v>
      </c>
      <c r="S3">
        <f t="shared" ref="S3:S66" si="7">I3/G3</f>
        <v>1.0524142458157633</v>
      </c>
    </row>
    <row r="4" spans="1:20" x14ac:dyDescent="0.25">
      <c r="A4" s="10">
        <v>36708</v>
      </c>
      <c r="B4" s="2">
        <v>12607.7</v>
      </c>
      <c r="C4" s="2">
        <v>12281.8</v>
      </c>
      <c r="D4">
        <v>12607.7</v>
      </c>
      <c r="E4">
        <v>12343</v>
      </c>
      <c r="F4" s="2">
        <v>12607.7</v>
      </c>
      <c r="G4" s="2">
        <v>12352.8</v>
      </c>
      <c r="H4" s="12">
        <v>13183.89</v>
      </c>
      <c r="I4" s="12">
        <v>13010.047124107925</v>
      </c>
      <c r="J4" s="13">
        <f t="shared" si="0"/>
        <v>13185.216995042703</v>
      </c>
      <c r="K4" s="13">
        <f t="shared" si="1"/>
        <v>12844.38859504235</v>
      </c>
      <c r="L4" s="13">
        <f t="shared" si="2"/>
        <v>13185.216995042703</v>
      </c>
      <c r="M4" s="13">
        <f t="shared" si="3"/>
        <v>12908.391964419527</v>
      </c>
      <c r="N4" s="13">
        <f t="shared" si="4"/>
        <v>13185.216995042703</v>
      </c>
      <c r="O4" s="13">
        <f t="shared" si="5"/>
        <v>12918.640869973387</v>
      </c>
      <c r="R4">
        <f t="shared" si="6"/>
        <v>1.0457014364237727</v>
      </c>
      <c r="S4">
        <f t="shared" si="7"/>
        <v>1.0532063276429575</v>
      </c>
    </row>
    <row r="5" spans="1:20" x14ac:dyDescent="0.25">
      <c r="A5" s="10">
        <v>36800</v>
      </c>
      <c r="B5" s="2">
        <v>12679.3</v>
      </c>
      <c r="C5" s="2">
        <v>12393.4</v>
      </c>
      <c r="D5">
        <v>12679.3</v>
      </c>
      <c r="E5">
        <v>12455.4</v>
      </c>
      <c r="F5" s="2">
        <v>12679.3</v>
      </c>
      <c r="G5" s="2">
        <v>12463.2</v>
      </c>
      <c r="H5" s="12">
        <v>13262.25</v>
      </c>
      <c r="I5" s="12">
        <v>13129.144768063294</v>
      </c>
      <c r="J5" s="13">
        <f t="shared" si="0"/>
        <v>13260.09675398724</v>
      </c>
      <c r="K5" s="13">
        <f t="shared" si="1"/>
        <v>12961.100621553671</v>
      </c>
      <c r="L5" s="13">
        <f t="shared" si="2"/>
        <v>13260.09675398724</v>
      </c>
      <c r="M5" s="13">
        <f t="shared" si="3"/>
        <v>13025.940636282181</v>
      </c>
      <c r="N5" s="13">
        <f t="shared" si="4"/>
        <v>13260.09675398724</v>
      </c>
      <c r="O5" s="13">
        <f t="shared" si="5"/>
        <v>13034.097928457706</v>
      </c>
      <c r="R5">
        <f t="shared" si="6"/>
        <v>1.0459765128989771</v>
      </c>
      <c r="S5">
        <f t="shared" si="7"/>
        <v>1.0534328878669437</v>
      </c>
    </row>
    <row r="6" spans="1:20" x14ac:dyDescent="0.25">
      <c r="A6" s="10">
        <v>36892</v>
      </c>
      <c r="B6" s="2">
        <v>12643.3</v>
      </c>
      <c r="C6" s="2">
        <v>12505.9</v>
      </c>
      <c r="D6">
        <v>12643.3</v>
      </c>
      <c r="E6">
        <v>12570.3</v>
      </c>
      <c r="F6" s="2">
        <v>12643.3</v>
      </c>
      <c r="G6" s="2">
        <v>12576.2</v>
      </c>
      <c r="H6" s="12">
        <v>13219.251</v>
      </c>
      <c r="I6" s="12">
        <v>13242.626114221135</v>
      </c>
      <c r="J6" s="13">
        <f t="shared" si="0"/>
        <v>13222.447713177136</v>
      </c>
      <c r="K6" s="13">
        <f t="shared" si="1"/>
        <v>13078.753874085243</v>
      </c>
      <c r="L6" s="13">
        <f t="shared" si="2"/>
        <v>13222.447713177136</v>
      </c>
      <c r="M6" s="13">
        <f t="shared" si="3"/>
        <v>13146.10382486776</v>
      </c>
      <c r="N6" s="13">
        <f t="shared" si="4"/>
        <v>13222.447713177136</v>
      </c>
      <c r="O6" s="13">
        <f t="shared" si="5"/>
        <v>13152.274084333862</v>
      </c>
      <c r="R6">
        <f t="shared" si="6"/>
        <v>1.0455538506560789</v>
      </c>
      <c r="S6">
        <f t="shared" si="7"/>
        <v>1.0529910556623729</v>
      </c>
    </row>
    <row r="7" spans="1:20" x14ac:dyDescent="0.25">
      <c r="A7" s="10">
        <v>36982</v>
      </c>
      <c r="B7" s="2">
        <v>12710.3</v>
      </c>
      <c r="C7" s="2">
        <v>12618.3</v>
      </c>
      <c r="D7">
        <v>12710.3</v>
      </c>
      <c r="E7">
        <v>12684.7</v>
      </c>
      <c r="F7" s="2">
        <v>12710.3</v>
      </c>
      <c r="G7" s="2">
        <v>12689</v>
      </c>
      <c r="H7" s="12">
        <v>13301.394</v>
      </c>
      <c r="I7" s="12">
        <v>13350.399770501921</v>
      </c>
      <c r="J7" s="13">
        <f t="shared" si="0"/>
        <v>13292.516761351495</v>
      </c>
      <c r="K7" s="13">
        <f t="shared" si="1"/>
        <v>13196.302545947898</v>
      </c>
      <c r="L7" s="13">
        <f t="shared" si="2"/>
        <v>13292.516761351495</v>
      </c>
      <c r="M7" s="13">
        <f t="shared" si="3"/>
        <v>13265.744110108757</v>
      </c>
      <c r="N7" s="13">
        <f t="shared" si="4"/>
        <v>13292.516761351495</v>
      </c>
      <c r="O7" s="13">
        <f t="shared" si="5"/>
        <v>13270.241078872185</v>
      </c>
      <c r="R7">
        <f t="shared" si="6"/>
        <v>1.0465051178965092</v>
      </c>
      <c r="S7">
        <f t="shared" si="7"/>
        <v>1.0521238687447334</v>
      </c>
    </row>
    <row r="8" spans="1:20" x14ac:dyDescent="0.25">
      <c r="A8" s="10">
        <v>37073</v>
      </c>
      <c r="B8" s="2">
        <v>12670.1</v>
      </c>
      <c r="C8" s="2">
        <v>12730.4</v>
      </c>
      <c r="D8">
        <v>12670.1</v>
      </c>
      <c r="E8">
        <v>12798.3</v>
      </c>
      <c r="F8" s="2">
        <v>12670.1</v>
      </c>
      <c r="G8" s="2">
        <v>12801.1</v>
      </c>
      <c r="H8" s="12">
        <v>13248.142</v>
      </c>
      <c r="I8" s="12">
        <v>13452.504389530579</v>
      </c>
      <c r="J8" s="13">
        <f t="shared" si="0"/>
        <v>13250.47533244688</v>
      </c>
      <c r="K8" s="13">
        <f t="shared" si="1"/>
        <v>13313.537475803803</v>
      </c>
      <c r="L8" s="13">
        <f t="shared" si="2"/>
        <v>13250.47533244688</v>
      </c>
      <c r="M8" s="13">
        <f t="shared" si="3"/>
        <v>13384.547749998414</v>
      </c>
      <c r="N8" s="13">
        <f t="shared" si="4"/>
        <v>13250.47533244688</v>
      </c>
      <c r="O8" s="13">
        <f t="shared" si="5"/>
        <v>13387.47600872809</v>
      </c>
      <c r="R8">
        <f t="shared" si="6"/>
        <v>1.0456225286303975</v>
      </c>
      <c r="S8">
        <f t="shared" si="7"/>
        <v>1.0508865948653303</v>
      </c>
    </row>
    <row r="9" spans="1:20" x14ac:dyDescent="0.25">
      <c r="A9" s="10">
        <v>37165</v>
      </c>
      <c r="B9" s="2">
        <v>12705.3</v>
      </c>
      <c r="C9" s="2">
        <v>12841.7</v>
      </c>
      <c r="D9">
        <v>12705.3</v>
      </c>
      <c r="E9">
        <v>12910.2</v>
      </c>
      <c r="F9" s="2">
        <v>12705.3</v>
      </c>
      <c r="G9" s="2">
        <v>12911.5</v>
      </c>
      <c r="H9" s="12">
        <v>13284.880999999999</v>
      </c>
      <c r="I9" s="12">
        <v>13549.578308347609</v>
      </c>
      <c r="J9" s="13">
        <f t="shared" si="0"/>
        <v>13287.287727905647</v>
      </c>
      <c r="K9" s="13">
        <f t="shared" si="1"/>
        <v>13429.935760308374</v>
      </c>
      <c r="L9" s="13">
        <f t="shared" si="2"/>
        <v>13287.287727905647</v>
      </c>
      <c r="M9" s="13">
        <f t="shared" si="3"/>
        <v>13501.573518516485</v>
      </c>
      <c r="N9" s="13">
        <f t="shared" si="4"/>
        <v>13287.287727905647</v>
      </c>
      <c r="O9" s="13">
        <f t="shared" si="5"/>
        <v>13502.933067212405</v>
      </c>
      <c r="R9">
        <f t="shared" si="6"/>
        <v>1.0456172620874753</v>
      </c>
      <c r="S9">
        <f t="shared" si="7"/>
        <v>1.0494193787203352</v>
      </c>
    </row>
    <row r="10" spans="1:20" x14ac:dyDescent="0.25">
      <c r="A10" s="10">
        <v>37257</v>
      </c>
      <c r="B10" s="2">
        <v>12822.3</v>
      </c>
      <c r="C10" s="2">
        <v>12950.5</v>
      </c>
      <c r="D10">
        <v>12822.3</v>
      </c>
      <c r="E10">
        <v>13016.8</v>
      </c>
      <c r="F10" s="2">
        <v>12822.3</v>
      </c>
      <c r="G10" s="2">
        <v>13016.9</v>
      </c>
      <c r="H10" s="12">
        <v>13394.91</v>
      </c>
      <c r="I10" s="12">
        <v>13642.026653665946</v>
      </c>
      <c r="J10" s="13">
        <f t="shared" si="0"/>
        <v>13409.647110538483</v>
      </c>
      <c r="K10" s="13">
        <f t="shared" si="1"/>
        <v>13543.719528090018</v>
      </c>
      <c r="L10" s="13">
        <f t="shared" si="2"/>
        <v>13409.647110538483</v>
      </c>
      <c r="M10" s="13">
        <f t="shared" si="3"/>
        <v>13613.056511581955</v>
      </c>
      <c r="N10" s="13">
        <f t="shared" si="4"/>
        <v>13409.647110538483</v>
      </c>
      <c r="O10" s="13">
        <f t="shared" si="5"/>
        <v>13613.161092250873</v>
      </c>
      <c r="R10">
        <f t="shared" si="6"/>
        <v>1.0446573547647457</v>
      </c>
      <c r="S10">
        <f t="shared" si="7"/>
        <v>1.0480242341622004</v>
      </c>
    </row>
    <row r="11" spans="1:20" x14ac:dyDescent="0.25">
      <c r="A11" s="10">
        <v>37347</v>
      </c>
      <c r="B11" s="2">
        <v>12893</v>
      </c>
      <c r="C11" s="2">
        <v>13059.7</v>
      </c>
      <c r="D11">
        <v>12893</v>
      </c>
      <c r="E11">
        <v>13121.9</v>
      </c>
      <c r="F11" s="2">
        <v>12893</v>
      </c>
      <c r="G11" s="2">
        <v>13120.7</v>
      </c>
      <c r="H11" s="12">
        <v>13477.356</v>
      </c>
      <c r="I11" s="12">
        <v>13731.527536916305</v>
      </c>
      <c r="J11" s="13">
        <f t="shared" si="0"/>
        <v>13483.585643462769</v>
      </c>
      <c r="K11" s="13">
        <f t="shared" si="1"/>
        <v>13657.921618547331</v>
      </c>
      <c r="L11" s="13">
        <f t="shared" si="2"/>
        <v>13483.585643462769</v>
      </c>
      <c r="M11" s="13">
        <f t="shared" si="3"/>
        <v>13722.970794613675</v>
      </c>
      <c r="N11" s="13">
        <f t="shared" si="4"/>
        <v>13483.585643462769</v>
      </c>
      <c r="O11" s="13">
        <f t="shared" si="5"/>
        <v>13721.715826586673</v>
      </c>
      <c r="R11">
        <f t="shared" si="6"/>
        <v>1.045323508880788</v>
      </c>
      <c r="S11">
        <f t="shared" si="7"/>
        <v>1.0465544930465831</v>
      </c>
    </row>
    <row r="12" spans="1:20" x14ac:dyDescent="0.25">
      <c r="A12" s="10">
        <v>37438</v>
      </c>
      <c r="B12" s="2">
        <v>12955.8</v>
      </c>
      <c r="C12" s="2">
        <v>13167.2</v>
      </c>
      <c r="D12">
        <v>12955.8</v>
      </c>
      <c r="E12">
        <v>13224.4</v>
      </c>
      <c r="F12" s="2">
        <v>12955.8</v>
      </c>
      <c r="G12" s="2">
        <v>13221.8</v>
      </c>
      <c r="H12" s="12">
        <v>13531.741</v>
      </c>
      <c r="I12" s="12">
        <v>13819.421745281743</v>
      </c>
      <c r="J12" s="13">
        <f t="shared" si="0"/>
        <v>13549.262303542615</v>
      </c>
      <c r="K12" s="13">
        <f t="shared" si="1"/>
        <v>13770.345837633055</v>
      </c>
      <c r="L12" s="13">
        <f t="shared" si="2"/>
        <v>13549.262303542615</v>
      </c>
      <c r="M12" s="13">
        <f t="shared" si="3"/>
        <v>13830.165980253551</v>
      </c>
      <c r="N12" s="13">
        <f t="shared" si="4"/>
        <v>13549.262303542615</v>
      </c>
      <c r="O12" s="13">
        <f t="shared" si="5"/>
        <v>13827.44688286171</v>
      </c>
      <c r="R12">
        <f t="shared" si="6"/>
        <v>1.0444542984609211</v>
      </c>
      <c r="S12">
        <f t="shared" si="7"/>
        <v>1.0451997266092168</v>
      </c>
    </row>
    <row r="13" spans="1:20" x14ac:dyDescent="0.25">
      <c r="A13" s="10">
        <v>37530</v>
      </c>
      <c r="B13" s="2">
        <v>12964</v>
      </c>
      <c r="C13" s="2">
        <v>13272.7</v>
      </c>
      <c r="D13">
        <v>12964</v>
      </c>
      <c r="E13">
        <v>13324.4</v>
      </c>
      <c r="F13" s="2">
        <v>12964</v>
      </c>
      <c r="G13" s="2">
        <v>13320.2</v>
      </c>
      <c r="H13" s="12">
        <v>13549.421</v>
      </c>
      <c r="I13" s="12">
        <v>13906.073089248501</v>
      </c>
      <c r="J13" s="13">
        <f t="shared" si="0"/>
        <v>13557.837918393805</v>
      </c>
      <c r="K13" s="13">
        <f t="shared" si="1"/>
        <v>13880.678443340441</v>
      </c>
      <c r="L13" s="13">
        <f t="shared" si="2"/>
        <v>13557.837918393805</v>
      </c>
      <c r="M13" s="13">
        <f t="shared" si="3"/>
        <v>13934.746649170505</v>
      </c>
      <c r="N13" s="13">
        <f t="shared" si="4"/>
        <v>13557.837918393805</v>
      </c>
      <c r="O13" s="13">
        <f t="shared" si="5"/>
        <v>13930.354261075994</v>
      </c>
      <c r="R13">
        <f t="shared" si="6"/>
        <v>1.0451574359765505</v>
      </c>
      <c r="S13">
        <f t="shared" si="7"/>
        <v>1.0439838057422937</v>
      </c>
    </row>
    <row r="14" spans="1:20" x14ac:dyDescent="0.25">
      <c r="A14" s="10">
        <v>37622</v>
      </c>
      <c r="B14" s="2">
        <v>13031.2</v>
      </c>
      <c r="C14" s="2">
        <v>13375.7</v>
      </c>
      <c r="D14">
        <v>13031.2</v>
      </c>
      <c r="E14">
        <v>13422.1</v>
      </c>
      <c r="F14" s="2">
        <v>13031.2</v>
      </c>
      <c r="G14" s="2">
        <v>13415.9</v>
      </c>
      <c r="H14" s="12">
        <v>13619.433999999999</v>
      </c>
      <c r="I14" s="12">
        <v>13992.484504845459</v>
      </c>
      <c r="J14" s="13">
        <f t="shared" si="0"/>
        <v>13628.116127906</v>
      </c>
      <c r="K14" s="13">
        <f t="shared" si="1"/>
        <v>13988.396532324903</v>
      </c>
      <c r="L14" s="13">
        <f t="shared" si="2"/>
        <v>13628.116127906</v>
      </c>
      <c r="M14" s="13">
        <f t="shared" si="3"/>
        <v>14036.921962702369</v>
      </c>
      <c r="N14" s="13">
        <f t="shared" si="4"/>
        <v>13628.116127906</v>
      </c>
      <c r="O14" s="13">
        <f t="shared" si="5"/>
        <v>14030.437961229516</v>
      </c>
      <c r="R14">
        <f t="shared" si="6"/>
        <v>1.0451404321935047</v>
      </c>
      <c r="S14">
        <f t="shared" si="7"/>
        <v>1.0429776984656609</v>
      </c>
    </row>
    <row r="15" spans="1:20" x14ac:dyDescent="0.25">
      <c r="A15" s="10">
        <v>37712</v>
      </c>
      <c r="B15" s="2">
        <v>13152.1</v>
      </c>
      <c r="C15" s="2">
        <v>13474.2</v>
      </c>
      <c r="D15">
        <v>13152.1</v>
      </c>
      <c r="E15">
        <v>13515.4</v>
      </c>
      <c r="F15" s="2">
        <v>13152.1</v>
      </c>
      <c r="G15" s="2">
        <v>13507.1</v>
      </c>
      <c r="H15" s="12">
        <v>13741.107</v>
      </c>
      <c r="I15" s="12">
        <v>14079.71664749195</v>
      </c>
      <c r="J15" s="13">
        <f t="shared" si="0"/>
        <v>13754.554156626595</v>
      </c>
      <c r="K15" s="13">
        <f t="shared" si="1"/>
        <v>14091.408491208102</v>
      </c>
      <c r="L15" s="13">
        <f t="shared" si="2"/>
        <v>13754.554156626595</v>
      </c>
      <c r="M15" s="13">
        <f t="shared" si="3"/>
        <v>14134.495726801884</v>
      </c>
      <c r="N15" s="13">
        <f t="shared" si="4"/>
        <v>13754.554156626595</v>
      </c>
      <c r="O15" s="13">
        <f t="shared" si="5"/>
        <v>14125.815531281778</v>
      </c>
      <c r="R15">
        <f t="shared" si="6"/>
        <v>1.0447842549858957</v>
      </c>
      <c r="S15">
        <f t="shared" si="7"/>
        <v>1.0423937519890982</v>
      </c>
    </row>
    <row r="16" spans="1:20" x14ac:dyDescent="0.25">
      <c r="A16" s="10">
        <v>37803</v>
      </c>
      <c r="B16" s="2">
        <v>13372.4</v>
      </c>
      <c r="C16" s="2">
        <v>13569.6</v>
      </c>
      <c r="D16">
        <v>13372.4</v>
      </c>
      <c r="E16">
        <v>13606</v>
      </c>
      <c r="F16" s="2">
        <v>13372.4</v>
      </c>
      <c r="G16" s="2">
        <v>13595.1</v>
      </c>
      <c r="H16" s="12">
        <v>13970.156999999999</v>
      </c>
      <c r="I16" s="12">
        <v>14166.968380640943</v>
      </c>
      <c r="J16" s="13">
        <f t="shared" si="0"/>
        <v>13984.945370250642</v>
      </c>
      <c r="K16" s="13">
        <f t="shared" si="1"/>
        <v>14191.178449354875</v>
      </c>
      <c r="L16" s="13">
        <f t="shared" si="2"/>
        <v>13984.945370250642</v>
      </c>
      <c r="M16" s="13">
        <f t="shared" si="3"/>
        <v>14229.245812840645</v>
      </c>
      <c r="N16" s="13">
        <f t="shared" si="4"/>
        <v>13984.945370250642</v>
      </c>
      <c r="O16" s="13">
        <f t="shared" si="5"/>
        <v>14217.846519928697</v>
      </c>
      <c r="R16">
        <f t="shared" si="6"/>
        <v>1.0447008016511621</v>
      </c>
      <c r="S16">
        <f t="shared" si="7"/>
        <v>1.0420643011556328</v>
      </c>
    </row>
    <row r="17" spans="1:19" x14ac:dyDescent="0.25">
      <c r="A17" s="10">
        <v>37895</v>
      </c>
      <c r="B17" s="2">
        <v>13528.7</v>
      </c>
      <c r="C17" s="2">
        <v>13661.8</v>
      </c>
      <c r="D17">
        <v>13528.7</v>
      </c>
      <c r="E17">
        <v>13693.9</v>
      </c>
      <c r="F17" s="2">
        <v>13528.7</v>
      </c>
      <c r="G17" s="2">
        <v>13680.1</v>
      </c>
      <c r="H17" s="12">
        <v>14131.379000000001</v>
      </c>
      <c r="I17" s="12">
        <v>14255.295748528804</v>
      </c>
      <c r="J17" s="13">
        <f t="shared" si="0"/>
        <v>14148.404955767841</v>
      </c>
      <c r="K17" s="13">
        <f t="shared" si="1"/>
        <v>14287.601826096305</v>
      </c>
      <c r="L17" s="13">
        <f t="shared" si="2"/>
        <v>14148.404955767841</v>
      </c>
      <c r="M17" s="13">
        <f t="shared" si="3"/>
        <v>14321.172220818646</v>
      </c>
      <c r="N17" s="13">
        <f t="shared" si="4"/>
        <v>14148.404955767841</v>
      </c>
      <c r="O17" s="13">
        <f t="shared" si="5"/>
        <v>14306.740088508108</v>
      </c>
      <c r="R17">
        <f t="shared" si="6"/>
        <v>1.0445481827522232</v>
      </c>
      <c r="S17">
        <f t="shared" si="7"/>
        <v>1.0420461654906619</v>
      </c>
    </row>
    <row r="18" spans="1:19" x14ac:dyDescent="0.25">
      <c r="A18" s="10">
        <v>37987</v>
      </c>
      <c r="B18" s="2">
        <v>13606.5</v>
      </c>
      <c r="C18" s="2">
        <v>13749.3</v>
      </c>
      <c r="D18">
        <v>13606.5</v>
      </c>
      <c r="E18">
        <v>13778.6</v>
      </c>
      <c r="F18" s="2">
        <v>13606.5</v>
      </c>
      <c r="G18" s="2">
        <v>13761.4</v>
      </c>
      <c r="H18" s="12">
        <v>14212.34</v>
      </c>
      <c r="I18" s="12">
        <v>14345.471525215591</v>
      </c>
      <c r="J18" s="13">
        <f t="shared" si="0"/>
        <v>14229.76871618523</v>
      </c>
      <c r="K18" s="13">
        <f t="shared" si="1"/>
        <v>14379.109911398638</v>
      </c>
      <c r="L18" s="13">
        <f t="shared" si="2"/>
        <v>14229.76871618523</v>
      </c>
      <c r="M18" s="13">
        <f t="shared" si="3"/>
        <v>14409.752047391306</v>
      </c>
      <c r="N18" s="13">
        <f t="shared" si="4"/>
        <v>14229.76871618523</v>
      </c>
      <c r="O18" s="13">
        <f t="shared" si="5"/>
        <v>14391.764172337589</v>
      </c>
      <c r="R18">
        <f t="shared" si="6"/>
        <v>1.0445257781207511</v>
      </c>
      <c r="S18">
        <f t="shared" si="7"/>
        <v>1.0424427402165179</v>
      </c>
    </row>
    <row r="19" spans="1:19" x14ac:dyDescent="0.25">
      <c r="A19" s="10">
        <v>38078</v>
      </c>
      <c r="B19" s="2">
        <v>13706.2</v>
      </c>
      <c r="C19" s="2">
        <v>13833.7</v>
      </c>
      <c r="D19">
        <v>13706.2</v>
      </c>
      <c r="E19">
        <v>13860.8</v>
      </c>
      <c r="F19" s="2">
        <v>13706.2</v>
      </c>
      <c r="G19" s="2">
        <v>13839.3</v>
      </c>
      <c r="H19" s="12">
        <v>14323.017</v>
      </c>
      <c r="I19" s="12">
        <v>14436.967695131636</v>
      </c>
      <c r="J19" s="13">
        <f t="shared" si="0"/>
        <v>14334.035643095433</v>
      </c>
      <c r="K19" s="13">
        <f t="shared" si="1"/>
        <v>14467.375995964549</v>
      </c>
      <c r="L19" s="13">
        <f t="shared" si="2"/>
        <v>14334.035643095433</v>
      </c>
      <c r="M19" s="13">
        <f t="shared" si="3"/>
        <v>14495.717357241041</v>
      </c>
      <c r="N19" s="13">
        <f t="shared" si="4"/>
        <v>14334.035643095433</v>
      </c>
      <c r="O19" s="13">
        <f t="shared" si="5"/>
        <v>14473.232513423896</v>
      </c>
      <c r="R19">
        <f t="shared" si="6"/>
        <v>1.045002772467934</v>
      </c>
      <c r="S19">
        <f t="shared" si="7"/>
        <v>1.0431862662946563</v>
      </c>
    </row>
    <row r="20" spans="1:19" x14ac:dyDescent="0.25">
      <c r="A20" s="10">
        <v>38169</v>
      </c>
      <c r="B20" s="2">
        <v>13830.8</v>
      </c>
      <c r="C20" s="2">
        <v>13916.1</v>
      </c>
      <c r="D20">
        <v>13830.8</v>
      </c>
      <c r="E20">
        <v>13942</v>
      </c>
      <c r="F20" s="2">
        <v>13830.8</v>
      </c>
      <c r="G20" s="2">
        <v>13915.6</v>
      </c>
      <c r="H20" s="12">
        <v>14457.832</v>
      </c>
      <c r="I20" s="12">
        <v>14530.657154778641</v>
      </c>
      <c r="J20" s="13">
        <f t="shared" si="0"/>
        <v>14464.343156565956</v>
      </c>
      <c r="K20" s="13">
        <f t="shared" si="1"/>
        <v>14553.550467152118</v>
      </c>
      <c r="L20" s="13">
        <f t="shared" si="2"/>
        <v>14464.343156565956</v>
      </c>
      <c r="M20" s="13">
        <f t="shared" si="3"/>
        <v>14580.636860401608</v>
      </c>
      <c r="N20" s="13">
        <f t="shared" si="4"/>
        <v>14464.343156565956</v>
      </c>
      <c r="O20" s="13">
        <f t="shared" si="5"/>
        <v>14553.027563807533</v>
      </c>
      <c r="R20">
        <f t="shared" si="6"/>
        <v>1.0453359169390057</v>
      </c>
      <c r="S20">
        <f t="shared" si="7"/>
        <v>1.0441991114129927</v>
      </c>
    </row>
    <row r="21" spans="1:19" x14ac:dyDescent="0.25">
      <c r="A21" s="10">
        <v>38261</v>
      </c>
      <c r="B21" s="2">
        <v>13950.4</v>
      </c>
      <c r="C21" s="2">
        <v>13997.5</v>
      </c>
      <c r="D21">
        <v>13950.4</v>
      </c>
      <c r="E21">
        <v>14023</v>
      </c>
      <c r="F21" s="2">
        <v>13950.4</v>
      </c>
      <c r="G21" s="2">
        <v>13990.9</v>
      </c>
      <c r="H21" s="12">
        <v>14605.594999999999</v>
      </c>
      <c r="I21" s="12">
        <v>14625.540051760048</v>
      </c>
      <c r="J21" s="13">
        <f t="shared" si="0"/>
        <v>14589.42163659063</v>
      </c>
      <c r="K21" s="13">
        <f t="shared" si="1"/>
        <v>14638.679131650517</v>
      </c>
      <c r="L21" s="13">
        <f t="shared" si="2"/>
        <v>14589.42163659063</v>
      </c>
      <c r="M21" s="13">
        <f t="shared" si="3"/>
        <v>14665.34720222434</v>
      </c>
      <c r="N21" s="13">
        <f t="shared" si="4"/>
        <v>14589.42163659063</v>
      </c>
      <c r="O21" s="13">
        <f t="shared" si="5"/>
        <v>14631.776807501998</v>
      </c>
      <c r="R21">
        <f t="shared" si="6"/>
        <v>1.0469660368161486</v>
      </c>
      <c r="S21">
        <f t="shared" si="7"/>
        <v>1.0453609168645368</v>
      </c>
    </row>
    <row r="22" spans="1:19" x14ac:dyDescent="0.25">
      <c r="A22" s="10">
        <v>38353</v>
      </c>
      <c r="B22" s="2">
        <v>14099.1</v>
      </c>
      <c r="C22" s="2">
        <v>14080</v>
      </c>
      <c r="D22">
        <v>14099.1</v>
      </c>
      <c r="E22">
        <v>14105.9</v>
      </c>
      <c r="F22" s="2">
        <v>14099.1</v>
      </c>
      <c r="G22" s="2">
        <v>14067.3</v>
      </c>
      <c r="H22" s="12">
        <v>14767.846</v>
      </c>
      <c r="I22" s="12">
        <v>14718.907157195204</v>
      </c>
      <c r="J22" s="13">
        <f t="shared" si="0"/>
        <v>14744.933091270141</v>
      </c>
      <c r="K22" s="13">
        <f t="shared" si="1"/>
        <v>14724.958183507002</v>
      </c>
      <c r="L22" s="13">
        <f t="shared" si="2"/>
        <v>14744.933091270141</v>
      </c>
      <c r="M22" s="13">
        <f t="shared" si="3"/>
        <v>14752.044576756494</v>
      </c>
      <c r="N22" s="13">
        <f t="shared" si="4"/>
        <v>14744.933091270141</v>
      </c>
      <c r="O22" s="13">
        <f t="shared" si="5"/>
        <v>14711.676438554548</v>
      </c>
      <c r="R22">
        <f t="shared" si="6"/>
        <v>1.0474318218893404</v>
      </c>
      <c r="S22">
        <f t="shared" si="7"/>
        <v>1.046320698157799</v>
      </c>
    </row>
    <row r="23" spans="1:19" x14ac:dyDescent="0.25">
      <c r="A23" s="10">
        <v>38443</v>
      </c>
      <c r="B23" s="2">
        <v>14172.7</v>
      </c>
      <c r="C23" s="2">
        <v>14162.2</v>
      </c>
      <c r="D23">
        <v>14172.7</v>
      </c>
      <c r="E23">
        <v>14190.7</v>
      </c>
      <c r="F23" s="2">
        <v>14172.7</v>
      </c>
      <c r="G23" s="2">
        <v>14144.5</v>
      </c>
      <c r="H23" s="12">
        <v>14839.707</v>
      </c>
      <c r="I23" s="12">
        <v>14809.966355594781</v>
      </c>
      <c r="J23" s="13">
        <f t="shared" si="0"/>
        <v>14821.904463593019</v>
      </c>
      <c r="K23" s="13">
        <f t="shared" si="1"/>
        <v>14810.923493356739</v>
      </c>
      <c r="L23" s="13">
        <f t="shared" si="2"/>
        <v>14821.904463593019</v>
      </c>
      <c r="M23" s="13">
        <f t="shared" si="3"/>
        <v>14840.728983998071</v>
      </c>
      <c r="N23" s="13">
        <f t="shared" si="4"/>
        <v>14821.904463593019</v>
      </c>
      <c r="O23" s="13">
        <f t="shared" si="5"/>
        <v>14792.412714958438</v>
      </c>
      <c r="R23">
        <f t="shared" si="6"/>
        <v>1.0470628038411876</v>
      </c>
      <c r="S23">
        <f t="shared" si="7"/>
        <v>1.0470477115200099</v>
      </c>
    </row>
    <row r="24" spans="1:19" x14ac:dyDescent="0.25">
      <c r="A24" s="10">
        <v>38534</v>
      </c>
      <c r="B24" s="2">
        <v>14291.8</v>
      </c>
      <c r="C24" s="2">
        <v>14244.6</v>
      </c>
      <c r="D24">
        <v>14291.8</v>
      </c>
      <c r="E24">
        <v>14276.3</v>
      </c>
      <c r="F24" s="2">
        <v>14291.8</v>
      </c>
      <c r="G24" s="2">
        <v>14222.2</v>
      </c>
      <c r="H24" s="12">
        <v>14956.290999999999</v>
      </c>
      <c r="I24" s="12">
        <v>14899.764672396343</v>
      </c>
      <c r="J24" s="13">
        <f t="shared" si="0"/>
        <v>14946.460040273108</v>
      </c>
      <c r="K24" s="13">
        <f t="shared" si="1"/>
        <v>14897.097964544308</v>
      </c>
      <c r="L24" s="13">
        <f t="shared" si="2"/>
        <v>14946.460040273108</v>
      </c>
      <c r="M24" s="13">
        <f t="shared" si="3"/>
        <v>14930.250036590982</v>
      </c>
      <c r="N24" s="13">
        <f t="shared" si="4"/>
        <v>14946.460040273108</v>
      </c>
      <c r="O24" s="13">
        <f t="shared" si="5"/>
        <v>14873.671894706911</v>
      </c>
      <c r="R24">
        <f t="shared" si="6"/>
        <v>1.0464945633160274</v>
      </c>
      <c r="S24">
        <f t="shared" si="7"/>
        <v>1.0476413404674623</v>
      </c>
    </row>
    <row r="25" spans="1:19" x14ac:dyDescent="0.25">
      <c r="A25" s="10">
        <v>38626</v>
      </c>
      <c r="B25" s="2">
        <v>14373.4</v>
      </c>
      <c r="C25" s="2">
        <v>14327.5</v>
      </c>
      <c r="D25">
        <v>14373.4</v>
      </c>
      <c r="E25">
        <v>14362.9</v>
      </c>
      <c r="F25" s="2">
        <v>14373.4</v>
      </c>
      <c r="G25" s="2">
        <v>14300.4</v>
      </c>
      <c r="H25" s="12">
        <v>15041.232</v>
      </c>
      <c r="I25" s="12">
        <v>14987.734747776842</v>
      </c>
      <c r="J25" s="13">
        <f t="shared" si="0"/>
        <v>15031.797866109344</v>
      </c>
      <c r="K25" s="13">
        <f t="shared" si="1"/>
        <v>14983.795339076461</v>
      </c>
      <c r="L25" s="13">
        <f t="shared" si="2"/>
        <v>15031.797866109344</v>
      </c>
      <c r="M25" s="13">
        <f t="shared" si="3"/>
        <v>15020.816895873062</v>
      </c>
      <c r="N25" s="13">
        <f t="shared" si="4"/>
        <v>15031.797866109344</v>
      </c>
      <c r="O25" s="13">
        <f t="shared" si="5"/>
        <v>14955.453977799967</v>
      </c>
      <c r="R25">
        <f t="shared" si="6"/>
        <v>1.0464630498003256</v>
      </c>
      <c r="S25">
        <f t="shared" si="7"/>
        <v>1.0480640225292188</v>
      </c>
    </row>
    <row r="26" spans="1:19" x14ac:dyDescent="0.25">
      <c r="A26" s="10">
        <v>38718</v>
      </c>
      <c r="B26" s="2">
        <v>14546.1</v>
      </c>
      <c r="C26" s="2">
        <v>14411.7</v>
      </c>
      <c r="D26">
        <v>14546.1</v>
      </c>
      <c r="E26">
        <v>14451</v>
      </c>
      <c r="F26" s="2">
        <v>14546.1</v>
      </c>
      <c r="G26" s="2">
        <v>14380.3</v>
      </c>
      <c r="H26" s="12">
        <v>15244.088</v>
      </c>
      <c r="I26" s="12">
        <v>15073.664817058681</v>
      </c>
      <c r="J26" s="13">
        <f t="shared" si="0"/>
        <v>15212.408681328921</v>
      </c>
      <c r="K26" s="13">
        <f t="shared" si="1"/>
        <v>15071.852262304537</v>
      </c>
      <c r="L26" s="13">
        <f t="shared" si="2"/>
        <v>15212.408681328921</v>
      </c>
      <c r="M26" s="13">
        <f t="shared" si="3"/>
        <v>15112.952465188899</v>
      </c>
      <c r="N26" s="13">
        <f t="shared" si="4"/>
        <v>15212.408681328921</v>
      </c>
      <c r="O26" s="13">
        <f t="shared" si="5"/>
        <v>15039.013932264612</v>
      </c>
      <c r="R26">
        <f t="shared" si="6"/>
        <v>1.0479845456857853</v>
      </c>
      <c r="S26">
        <f t="shared" si="7"/>
        <v>1.0482162970910678</v>
      </c>
    </row>
    <row r="27" spans="1:19" x14ac:dyDescent="0.25">
      <c r="A27" s="10">
        <v>38808</v>
      </c>
      <c r="B27" s="2">
        <v>14589.6</v>
      </c>
      <c r="C27" s="2">
        <v>14497.1</v>
      </c>
      <c r="D27">
        <v>14589.6</v>
      </c>
      <c r="E27">
        <v>14540.5</v>
      </c>
      <c r="F27" s="2">
        <v>14589.6</v>
      </c>
      <c r="G27" s="2">
        <v>14461.5</v>
      </c>
      <c r="H27" s="12">
        <v>15281.525</v>
      </c>
      <c r="I27" s="12">
        <v>15158.023715379784</v>
      </c>
      <c r="J27" s="13">
        <f t="shared" si="0"/>
        <v>15257.901272307796</v>
      </c>
      <c r="K27" s="13">
        <f t="shared" si="1"/>
        <v>15161.164153559615</v>
      </c>
      <c r="L27" s="13">
        <f t="shared" si="2"/>
        <v>15257.901272307796</v>
      </c>
      <c r="M27" s="13">
        <f t="shared" si="3"/>
        <v>15206.552163869572</v>
      </c>
      <c r="N27" s="13">
        <f t="shared" si="4"/>
        <v>15257.901272307796</v>
      </c>
      <c r="O27" s="13">
        <f t="shared" si="5"/>
        <v>15123.933435425179</v>
      </c>
      <c r="R27">
        <f t="shared" si="6"/>
        <v>1.0474259061249109</v>
      </c>
      <c r="S27">
        <f t="shared" si="7"/>
        <v>1.0481640020315863</v>
      </c>
    </row>
    <row r="28" spans="1:19" x14ac:dyDescent="0.25">
      <c r="A28" s="10">
        <v>38899</v>
      </c>
      <c r="B28" s="2">
        <v>14602.6</v>
      </c>
      <c r="C28" s="2">
        <v>14583.2</v>
      </c>
      <c r="D28">
        <v>14602.6</v>
      </c>
      <c r="E28">
        <v>14629.9</v>
      </c>
      <c r="F28" s="2">
        <v>14602.6</v>
      </c>
      <c r="G28" s="2">
        <v>14542.7</v>
      </c>
      <c r="H28" s="12">
        <v>15304.517</v>
      </c>
      <c r="I28" s="12">
        <v>15239.103339568164</v>
      </c>
      <c r="J28" s="13">
        <f t="shared" si="0"/>
        <v>15271.496759267</v>
      </c>
      <c r="K28" s="13">
        <f t="shared" si="1"/>
        <v>15251.208109497113</v>
      </c>
      <c r="L28" s="13">
        <f t="shared" si="2"/>
        <v>15271.496759267</v>
      </c>
      <c r="M28" s="13">
        <f t="shared" si="3"/>
        <v>15300.047281881329</v>
      </c>
      <c r="N28" s="13">
        <f t="shared" si="4"/>
        <v>15271.496759267</v>
      </c>
      <c r="O28" s="13">
        <f t="shared" si="5"/>
        <v>15208.852938585746</v>
      </c>
      <c r="R28">
        <f t="shared" si="6"/>
        <v>1.0480679468039937</v>
      </c>
      <c r="S28">
        <f t="shared" si="7"/>
        <v>1.0478867981577125</v>
      </c>
    </row>
    <row r="29" spans="1:19" x14ac:dyDescent="0.25">
      <c r="A29" s="10">
        <v>38991</v>
      </c>
      <c r="B29" s="2">
        <v>14716.9</v>
      </c>
      <c r="C29" s="2">
        <v>14669.8</v>
      </c>
      <c r="D29">
        <v>14716.9</v>
      </c>
      <c r="E29">
        <v>14718.6</v>
      </c>
      <c r="F29" s="2">
        <v>14716.9</v>
      </c>
      <c r="G29" s="2">
        <v>14623.5</v>
      </c>
      <c r="H29" s="12">
        <v>15433.643</v>
      </c>
      <c r="I29" s="12">
        <v>15316.914218297932</v>
      </c>
      <c r="J29" s="13">
        <f t="shared" si="0"/>
        <v>15391.032463839078</v>
      </c>
      <c r="K29" s="13">
        <f t="shared" si="1"/>
        <v>15341.774968779191</v>
      </c>
      <c r="L29" s="13">
        <f t="shared" si="2"/>
        <v>15391.032463839078</v>
      </c>
      <c r="M29" s="13">
        <f t="shared" si="3"/>
        <v>15392.810335210666</v>
      </c>
      <c r="N29" s="13">
        <f t="shared" si="4"/>
        <v>15391.032463839078</v>
      </c>
      <c r="O29" s="13">
        <f t="shared" si="5"/>
        <v>15293.354119070644</v>
      </c>
      <c r="R29">
        <f t="shared" si="6"/>
        <v>1.0487020364343034</v>
      </c>
      <c r="S29">
        <f t="shared" si="7"/>
        <v>1.0474178013675202</v>
      </c>
    </row>
    <row r="30" spans="1:19" x14ac:dyDescent="0.25">
      <c r="A30" s="10">
        <v>39083</v>
      </c>
      <c r="B30" s="2">
        <v>14726</v>
      </c>
      <c r="C30" s="2">
        <v>14757</v>
      </c>
      <c r="D30">
        <v>14726</v>
      </c>
      <c r="E30">
        <v>14805.1</v>
      </c>
      <c r="F30" s="2">
        <v>14726</v>
      </c>
      <c r="G30" s="2">
        <v>14702.9</v>
      </c>
      <c r="H30" s="12">
        <v>15478.956</v>
      </c>
      <c r="I30" s="12">
        <v>15394.59126299462</v>
      </c>
      <c r="J30" s="13">
        <f t="shared" si="0"/>
        <v>15400.549304710521</v>
      </c>
      <c r="K30" s="13">
        <f t="shared" si="1"/>
        <v>15432.969312074776</v>
      </c>
      <c r="L30" s="13">
        <f t="shared" si="2"/>
        <v>15400.549304710521</v>
      </c>
      <c r="M30" s="13">
        <f t="shared" si="3"/>
        <v>15483.27261382383</v>
      </c>
      <c r="N30" s="13">
        <f t="shared" si="4"/>
        <v>15400.549304710521</v>
      </c>
      <c r="O30" s="13">
        <f t="shared" si="5"/>
        <v>15376.391170190704</v>
      </c>
      <c r="R30">
        <f t="shared" si="6"/>
        <v>1.0511310607089501</v>
      </c>
      <c r="S30">
        <f t="shared" si="7"/>
        <v>1.0470445465176679</v>
      </c>
    </row>
    <row r="31" spans="1:19" x14ac:dyDescent="0.25">
      <c r="A31" s="10">
        <v>39173</v>
      </c>
      <c r="B31" s="2">
        <v>14838.7</v>
      </c>
      <c r="C31" s="2">
        <v>14846.3</v>
      </c>
      <c r="D31">
        <v>14838.7</v>
      </c>
      <c r="E31">
        <v>14889.6</v>
      </c>
      <c r="F31" s="2">
        <v>14838.7</v>
      </c>
      <c r="G31" s="2">
        <v>14781.3</v>
      </c>
      <c r="H31" s="12">
        <v>15577.779</v>
      </c>
      <c r="I31" s="12">
        <v>15472.772148648757</v>
      </c>
      <c r="J31" s="13">
        <f t="shared" si="0"/>
        <v>15518.411718579928</v>
      </c>
      <c r="K31" s="13">
        <f t="shared" si="1"/>
        <v>15526.359849417615</v>
      </c>
      <c r="L31" s="13">
        <f t="shared" si="2"/>
        <v>15518.411718579928</v>
      </c>
      <c r="M31" s="13">
        <f t="shared" si="3"/>
        <v>15571.643279058657</v>
      </c>
      <c r="N31" s="13">
        <f t="shared" si="4"/>
        <v>15518.411718579928</v>
      </c>
      <c r="O31" s="13">
        <f t="shared" si="5"/>
        <v>15458.382414621594</v>
      </c>
      <c r="R31">
        <f t="shared" si="6"/>
        <v>1.0498075303092589</v>
      </c>
      <c r="S31">
        <f t="shared" si="7"/>
        <v>1.0467801985379337</v>
      </c>
    </row>
    <row r="32" spans="1:19" x14ac:dyDescent="0.25">
      <c r="A32" s="10">
        <v>39264</v>
      </c>
      <c r="B32" s="2">
        <v>14938.5</v>
      </c>
      <c r="C32" s="2">
        <v>14935</v>
      </c>
      <c r="D32">
        <v>14938.5</v>
      </c>
      <c r="E32">
        <v>14972.3</v>
      </c>
      <c r="F32" s="2">
        <v>14938.5</v>
      </c>
      <c r="G32" s="2">
        <v>14858.3</v>
      </c>
      <c r="H32" s="12">
        <v>15671.605</v>
      </c>
      <c r="I32" s="12">
        <v>15551.685448278575</v>
      </c>
      <c r="J32" s="13">
        <f t="shared" si="0"/>
        <v>15622.783226159047</v>
      </c>
      <c r="K32" s="13">
        <f t="shared" si="1"/>
        <v>15619.122902746953</v>
      </c>
      <c r="L32" s="13">
        <f t="shared" si="2"/>
        <v>15622.783226159047</v>
      </c>
      <c r="M32" s="13">
        <f t="shared" si="3"/>
        <v>15658.131492252975</v>
      </c>
      <c r="N32" s="13">
        <f t="shared" si="4"/>
        <v>15622.783226159047</v>
      </c>
      <c r="O32" s="13">
        <f t="shared" si="5"/>
        <v>15538.909529687648</v>
      </c>
      <c r="R32">
        <f t="shared" si="6"/>
        <v>1.0490748736486259</v>
      </c>
      <c r="S32">
        <f t="shared" si="7"/>
        <v>1.0466665397978623</v>
      </c>
    </row>
    <row r="33" spans="1:19" x14ac:dyDescent="0.25">
      <c r="A33" s="10">
        <v>39356</v>
      </c>
      <c r="B33" s="2">
        <v>14991.8</v>
      </c>
      <c r="C33" s="2">
        <v>15022.3</v>
      </c>
      <c r="D33">
        <v>14991.8</v>
      </c>
      <c r="E33">
        <v>15052.9</v>
      </c>
      <c r="F33" s="2">
        <v>14991.8</v>
      </c>
      <c r="G33" s="2">
        <v>14933.4</v>
      </c>
      <c r="H33" s="12">
        <v>15767.146000000001</v>
      </c>
      <c r="I33" s="12">
        <v>15630.164389951682</v>
      </c>
      <c r="J33" s="13">
        <f t="shared" si="0"/>
        <v>15678.524722691782</v>
      </c>
      <c r="K33" s="13">
        <f t="shared" si="1"/>
        <v>15710.421826711452</v>
      </c>
      <c r="L33" s="13">
        <f t="shared" si="2"/>
        <v>15678.524722691782</v>
      </c>
      <c r="M33" s="13">
        <f t="shared" si="3"/>
        <v>15742.42351140004</v>
      </c>
      <c r="N33" s="13">
        <f t="shared" si="4"/>
        <v>15678.524722691782</v>
      </c>
      <c r="O33" s="13">
        <f t="shared" si="5"/>
        <v>15617.44961204428</v>
      </c>
      <c r="R33">
        <f t="shared" si="6"/>
        <v>1.0517180058431943</v>
      </c>
      <c r="S33">
        <f t="shared" si="7"/>
        <v>1.0466581213890798</v>
      </c>
    </row>
    <row r="34" spans="1:19" x14ac:dyDescent="0.25">
      <c r="A34" s="10">
        <v>39448</v>
      </c>
      <c r="B34" s="2">
        <v>14889.5</v>
      </c>
      <c r="C34" s="2">
        <v>15107</v>
      </c>
      <c r="D34">
        <v>14889.5</v>
      </c>
      <c r="E34">
        <v>15130.6</v>
      </c>
      <c r="F34" s="2">
        <v>14889.5</v>
      </c>
      <c r="G34" s="2">
        <v>15005.5</v>
      </c>
      <c r="H34" s="12">
        <v>15702.906000000001</v>
      </c>
      <c r="I34" s="12">
        <v>15707.896436018797</v>
      </c>
      <c r="J34" s="13">
        <f t="shared" ref="J34:J60" si="8">B34*$T$2</f>
        <v>15571.538698389739</v>
      </c>
      <c r="K34" s="13">
        <f t="shared" si="1"/>
        <v>15799.001653284111</v>
      </c>
      <c r="L34" s="13">
        <f t="shared" ref="L34:L64" si="9">D34*$T$2</f>
        <v>15571.538698389739</v>
      </c>
      <c r="M34" s="13">
        <f t="shared" si="3"/>
        <v>15823.682691148513</v>
      </c>
      <c r="N34" s="13">
        <f t="shared" si="4"/>
        <v>15571.538698389739</v>
      </c>
      <c r="O34" s="13">
        <f t="shared" si="5"/>
        <v>15692.852274333405</v>
      </c>
      <c r="R34">
        <f t="shared" si="6"/>
        <v>1.054629504012895</v>
      </c>
      <c r="S34">
        <f t="shared" si="7"/>
        <v>1.0468092656705072</v>
      </c>
    </row>
    <row r="35" spans="1:19" x14ac:dyDescent="0.25">
      <c r="A35" s="10">
        <v>39539</v>
      </c>
      <c r="B35" s="2">
        <v>14963.4</v>
      </c>
      <c r="C35" s="2">
        <v>15188.7</v>
      </c>
      <c r="D35">
        <v>14963.4</v>
      </c>
      <c r="E35">
        <v>15208.7</v>
      </c>
      <c r="F35" s="2">
        <v>14963.4</v>
      </c>
      <c r="G35" s="2">
        <v>15076.9</v>
      </c>
      <c r="H35" s="12">
        <v>15792.772999999999</v>
      </c>
      <c r="I35" s="12">
        <v>15782.945118773247</v>
      </c>
      <c r="J35" s="13">
        <f t="shared" si="8"/>
        <v>15648.823812719367</v>
      </c>
      <c r="K35" s="13">
        <f t="shared" si="1"/>
        <v>15884.444059789263</v>
      </c>
      <c r="L35" s="13">
        <f t="shared" si="9"/>
        <v>15648.823812719367</v>
      </c>
      <c r="M35" s="13">
        <f t="shared" si="3"/>
        <v>15905.360193572655</v>
      </c>
      <c r="N35" s="13">
        <f t="shared" si="4"/>
        <v>15648.823812719367</v>
      </c>
      <c r="O35" s="13">
        <f t="shared" si="5"/>
        <v>15767.522871940109</v>
      </c>
      <c r="R35">
        <f t="shared" si="6"/>
        <v>1.0554267746635122</v>
      </c>
      <c r="S35">
        <f t="shared" si="7"/>
        <v>1.0468295948618911</v>
      </c>
    </row>
    <row r="36" spans="1:19" x14ac:dyDescent="0.25">
      <c r="A36" s="10">
        <v>39630</v>
      </c>
      <c r="B36" s="2">
        <v>14891.6</v>
      </c>
      <c r="C36" s="2">
        <v>15266.9</v>
      </c>
      <c r="D36">
        <v>14891.6</v>
      </c>
      <c r="E36">
        <v>15283.9</v>
      </c>
      <c r="F36" s="2">
        <v>14891.6</v>
      </c>
      <c r="G36" s="2">
        <v>15145.3</v>
      </c>
      <c r="H36" s="12">
        <v>15709.562</v>
      </c>
      <c r="I36" s="12">
        <v>15854.479153554397</v>
      </c>
      <c r="J36" s="13">
        <f t="shared" si="8"/>
        <v>15573.734892436994</v>
      </c>
      <c r="K36" s="13">
        <f t="shared" si="1"/>
        <v>15966.226142882319</v>
      </c>
      <c r="L36" s="13">
        <f t="shared" si="9"/>
        <v>15573.734892436994</v>
      </c>
      <c r="M36" s="13">
        <f t="shared" si="3"/>
        <v>15984.004856598202</v>
      </c>
      <c r="N36" s="13">
        <f t="shared" si="4"/>
        <v>15573.734892436994</v>
      </c>
      <c r="O36" s="13">
        <f t="shared" si="5"/>
        <v>15839.056049479304</v>
      </c>
      <c r="R36">
        <f t="shared" si="6"/>
        <v>1.0549277445002552</v>
      </c>
      <c r="S36">
        <f t="shared" si="7"/>
        <v>1.0468250317626193</v>
      </c>
    </row>
    <row r="37" spans="1:19" x14ac:dyDescent="0.25">
      <c r="A37" s="10">
        <v>39722</v>
      </c>
      <c r="B37" s="2">
        <v>14577</v>
      </c>
      <c r="C37" s="2">
        <v>15340.8</v>
      </c>
      <c r="D37">
        <v>14577</v>
      </c>
      <c r="E37">
        <v>15355.5</v>
      </c>
      <c r="F37" s="2">
        <v>14577</v>
      </c>
      <c r="G37" s="2">
        <v>15209.9</v>
      </c>
      <c r="H37" s="12">
        <v>15366.607</v>
      </c>
      <c r="I37" s="12">
        <v>15921.647052393451</v>
      </c>
      <c r="J37" s="13">
        <f t="shared" si="8"/>
        <v>15244.72410802426</v>
      </c>
      <c r="K37" s="13">
        <f t="shared" si="1"/>
        <v>16043.511257211947</v>
      </c>
      <c r="L37" s="13">
        <f t="shared" si="9"/>
        <v>15244.72410802426</v>
      </c>
      <c r="M37" s="13">
        <f t="shared" si="3"/>
        <v>16058.88461554274</v>
      </c>
      <c r="N37" s="13">
        <f t="shared" si="4"/>
        <v>15244.72410802426</v>
      </c>
      <c r="O37" s="13">
        <f t="shared" si="5"/>
        <v>15906.615161599657</v>
      </c>
      <c r="R37">
        <f t="shared" si="6"/>
        <v>1.0541680043904782</v>
      </c>
      <c r="S37">
        <f t="shared" si="7"/>
        <v>1.0467949856602248</v>
      </c>
    </row>
    <row r="38" spans="1:19" x14ac:dyDescent="0.25">
      <c r="A38" s="10">
        <v>39814</v>
      </c>
      <c r="B38" s="2">
        <v>14375</v>
      </c>
      <c r="C38" s="2">
        <v>15408.3</v>
      </c>
      <c r="D38">
        <v>14375</v>
      </c>
      <c r="E38">
        <v>15422.8</v>
      </c>
      <c r="F38" s="2">
        <v>14375</v>
      </c>
      <c r="G38" s="2">
        <v>15270</v>
      </c>
      <c r="H38" s="12">
        <v>15187.475</v>
      </c>
      <c r="I38" s="12">
        <v>15983.298522700341</v>
      </c>
      <c r="J38" s="13">
        <f t="shared" si="8"/>
        <v>15033.471156812015</v>
      </c>
      <c r="K38" s="13">
        <f t="shared" si="1"/>
        <v>16114.10320873089</v>
      </c>
      <c r="L38" s="13">
        <f t="shared" si="9"/>
        <v>15033.471156812015</v>
      </c>
      <c r="M38" s="13">
        <f t="shared" si="3"/>
        <v>16129.267405723849</v>
      </c>
      <c r="N38" s="13">
        <f t="shared" si="4"/>
        <v>15033.471156812015</v>
      </c>
      <c r="O38" s="13">
        <f t="shared" si="5"/>
        <v>15969.468143618746</v>
      </c>
      <c r="R38">
        <f t="shared" si="6"/>
        <v>1.0565200000000001</v>
      </c>
      <c r="S38">
        <f t="shared" si="7"/>
        <v>1.0467124114407558</v>
      </c>
    </row>
    <row r="39" spans="1:19" x14ac:dyDescent="0.25">
      <c r="A39" s="10">
        <v>39904</v>
      </c>
      <c r="B39" s="2">
        <v>14355.6</v>
      </c>
      <c r="C39" s="2">
        <v>15468.8</v>
      </c>
      <c r="D39">
        <v>14355.6</v>
      </c>
      <c r="E39">
        <v>15479.9</v>
      </c>
      <c r="F39" s="2">
        <v>14355.6</v>
      </c>
      <c r="G39" s="2">
        <v>15321.7</v>
      </c>
      <c r="H39" s="12">
        <v>15161.772000000001</v>
      </c>
      <c r="I39" s="12">
        <v>16040.702644623096</v>
      </c>
      <c r="J39" s="13">
        <f t="shared" si="8"/>
        <v>15013.182507042126</v>
      </c>
      <c r="K39" s="13">
        <f t="shared" si="1"/>
        <v>16177.374513425648</v>
      </c>
      <c r="L39" s="13">
        <f t="shared" si="9"/>
        <v>15013.182507042126</v>
      </c>
      <c r="M39" s="13">
        <f t="shared" si="3"/>
        <v>16188.982967675429</v>
      </c>
      <c r="N39" s="13">
        <f t="shared" si="4"/>
        <v>15013.182507042126</v>
      </c>
      <c r="O39" s="13">
        <f t="shared" si="5"/>
        <v>16023.53634944881</v>
      </c>
      <c r="R39">
        <f t="shared" si="6"/>
        <v>1.056157318398395</v>
      </c>
      <c r="S39">
        <f t="shared" si="7"/>
        <v>1.0469270801949584</v>
      </c>
    </row>
    <row r="40" spans="1:19" x14ac:dyDescent="0.25">
      <c r="A40" s="10">
        <v>39995</v>
      </c>
      <c r="B40" s="2">
        <v>14402.5</v>
      </c>
      <c r="C40" s="2">
        <v>15525.4</v>
      </c>
      <c r="D40">
        <v>14402.5</v>
      </c>
      <c r="E40">
        <v>15532.4</v>
      </c>
      <c r="F40" s="2">
        <v>14402.5</v>
      </c>
      <c r="G40" s="2">
        <v>15369.1</v>
      </c>
      <c r="H40" s="12">
        <v>15216.647000000001</v>
      </c>
      <c r="I40" s="12">
        <v>16094.741671790714</v>
      </c>
      <c r="J40" s="13">
        <f t="shared" si="8"/>
        <v>15062.230840764178</v>
      </c>
      <c r="K40" s="13">
        <f t="shared" si="1"/>
        <v>16236.567172032643</v>
      </c>
      <c r="L40" s="13">
        <f t="shared" si="9"/>
        <v>15062.230840764178</v>
      </c>
      <c r="M40" s="13">
        <f t="shared" si="3"/>
        <v>16243.887818856831</v>
      </c>
      <c r="N40" s="13">
        <f t="shared" si="4"/>
        <v>15062.230840764178</v>
      </c>
      <c r="O40" s="13">
        <f t="shared" si="5"/>
        <v>16073.107586515447</v>
      </c>
      <c r="R40">
        <f t="shared" si="6"/>
        <v>1.0565281721923279</v>
      </c>
      <c r="S40">
        <f t="shared" si="7"/>
        <v>1.0472143243124656</v>
      </c>
    </row>
    <row r="41" spans="1:19" x14ac:dyDescent="0.25">
      <c r="A41" s="10">
        <v>40087</v>
      </c>
      <c r="B41" s="2">
        <v>14541.9</v>
      </c>
      <c r="C41" s="2">
        <v>15579.1</v>
      </c>
      <c r="D41">
        <v>14541.9</v>
      </c>
      <c r="E41">
        <v>15581.2</v>
      </c>
      <c r="F41" s="2">
        <v>14541.9</v>
      </c>
      <c r="G41" s="2">
        <v>15413</v>
      </c>
      <c r="H41" s="12">
        <v>15379.155000000001</v>
      </c>
      <c r="I41" s="12">
        <v>16147.063356892382</v>
      </c>
      <c r="J41" s="13">
        <f t="shared" si="8"/>
        <v>15208.016293234408</v>
      </c>
      <c r="K41" s="13">
        <f t="shared" si="1"/>
        <v>16292.726991241048</v>
      </c>
      <c r="L41" s="13">
        <f t="shared" si="9"/>
        <v>15208.016293234408</v>
      </c>
      <c r="M41" s="13">
        <f t="shared" si="3"/>
        <v>16294.923185288304</v>
      </c>
      <c r="N41" s="13">
        <f t="shared" si="4"/>
        <v>15208.016293234408</v>
      </c>
      <c r="O41" s="13">
        <f t="shared" si="5"/>
        <v>16119.018500169988</v>
      </c>
      <c r="R41">
        <f t="shared" si="6"/>
        <v>1.0575753512264561</v>
      </c>
      <c r="S41">
        <f t="shared" si="7"/>
        <v>1.0476262477708675</v>
      </c>
    </row>
    <row r="42" spans="1:19" x14ac:dyDescent="0.25">
      <c r="A42" s="10">
        <v>40179</v>
      </c>
      <c r="B42" s="2">
        <v>14604.8</v>
      </c>
      <c r="C42" s="2">
        <v>15630.7</v>
      </c>
      <c r="D42">
        <v>14604.8</v>
      </c>
      <c r="E42">
        <v>15624.8</v>
      </c>
      <c r="F42" s="2">
        <v>14604.8</v>
      </c>
      <c r="G42" s="2">
        <v>15452.7</v>
      </c>
      <c r="H42" s="12">
        <v>15456.058999999999</v>
      </c>
      <c r="I42" s="12">
        <v>16199.710242322295</v>
      </c>
      <c r="J42" s="13">
        <f t="shared" si="8"/>
        <v>15273.797533983172</v>
      </c>
      <c r="K42" s="13">
        <f t="shared" si="1"/>
        <v>16346.690616402197</v>
      </c>
      <c r="L42" s="13">
        <f t="shared" si="9"/>
        <v>15273.797533983172</v>
      </c>
      <c r="M42" s="13">
        <f t="shared" si="3"/>
        <v>16340.520356936095</v>
      </c>
      <c r="N42" s="13">
        <f t="shared" si="4"/>
        <v>15273.797533983172</v>
      </c>
      <c r="O42" s="13">
        <f t="shared" si="5"/>
        <v>16160.53702573002</v>
      </c>
      <c r="R42">
        <f t="shared" si="6"/>
        <v>1.0582862483567046</v>
      </c>
      <c r="S42">
        <f t="shared" si="7"/>
        <v>1.0483417294273683</v>
      </c>
    </row>
    <row r="43" spans="1:19" x14ac:dyDescent="0.25">
      <c r="A43" s="10">
        <v>40269</v>
      </c>
      <c r="B43" s="2">
        <v>14745.9</v>
      </c>
      <c r="C43" s="2">
        <v>15681</v>
      </c>
      <c r="D43">
        <v>14745.9</v>
      </c>
      <c r="E43">
        <v>15669.1</v>
      </c>
      <c r="F43" s="2">
        <v>14745.9</v>
      </c>
      <c r="G43" s="2">
        <v>15491.4</v>
      </c>
      <c r="H43" s="12">
        <v>15605.628000000001</v>
      </c>
      <c r="I43" s="12">
        <v>16253.716157120327</v>
      </c>
      <c r="J43" s="13">
        <f t="shared" si="8"/>
        <v>15421.360857824993</v>
      </c>
      <c r="K43" s="13">
        <f t="shared" si="1"/>
        <v>16399.294692867421</v>
      </c>
      <c r="L43" s="13">
        <f t="shared" si="9"/>
        <v>15421.360857824993</v>
      </c>
      <c r="M43" s="13">
        <f t="shared" si="3"/>
        <v>16386.849593266306</v>
      </c>
      <c r="N43" s="13">
        <f t="shared" si="4"/>
        <v>15421.360857824993</v>
      </c>
      <c r="O43" s="13">
        <f t="shared" si="5"/>
        <v>16201.009744600879</v>
      </c>
      <c r="R43">
        <f t="shared" si="6"/>
        <v>1.0583028502838077</v>
      </c>
      <c r="S43">
        <f t="shared" si="7"/>
        <v>1.0492089906090041</v>
      </c>
    </row>
    <row r="44" spans="1:19" x14ac:dyDescent="0.25">
      <c r="A44" s="10">
        <v>40360</v>
      </c>
      <c r="B44" s="2">
        <v>14845.5</v>
      </c>
      <c r="C44" s="2">
        <v>15731</v>
      </c>
      <c r="D44">
        <v>14845.5</v>
      </c>
      <c r="E44">
        <v>15713.7</v>
      </c>
      <c r="F44" s="2">
        <v>14845.5</v>
      </c>
      <c r="G44" s="2">
        <v>15530</v>
      </c>
      <c r="H44" s="12">
        <v>15726.281999999999</v>
      </c>
      <c r="I44" s="12">
        <v>16310.447723810714</v>
      </c>
      <c r="J44" s="13">
        <f t="shared" si="8"/>
        <v>15525.52320406628</v>
      </c>
      <c r="K44" s="13">
        <f t="shared" si="1"/>
        <v>16451.585027325898</v>
      </c>
      <c r="L44" s="13">
        <f t="shared" si="9"/>
        <v>15525.52320406628</v>
      </c>
      <c r="M44" s="13">
        <f t="shared" si="3"/>
        <v>16433.492571603267</v>
      </c>
      <c r="N44" s="13">
        <f t="shared" si="4"/>
        <v>15525.52320406628</v>
      </c>
      <c r="O44" s="13">
        <f t="shared" si="5"/>
        <v>16241.377882802824</v>
      </c>
      <c r="R44">
        <f t="shared" si="6"/>
        <v>1.0593298979488734</v>
      </c>
      <c r="S44">
        <f t="shared" si="7"/>
        <v>1.0502541998590287</v>
      </c>
    </row>
    <row r="45" spans="1:19" x14ac:dyDescent="0.25">
      <c r="A45" s="10">
        <v>40452</v>
      </c>
      <c r="B45" s="2">
        <v>14939</v>
      </c>
      <c r="C45" s="2">
        <v>15781.7</v>
      </c>
      <c r="D45">
        <v>14939</v>
      </c>
      <c r="E45">
        <v>15759.9</v>
      </c>
      <c r="F45" s="2">
        <v>14939</v>
      </c>
      <c r="G45" s="2">
        <v>15569.6</v>
      </c>
      <c r="H45" s="12">
        <v>15807.995000000001</v>
      </c>
      <c r="I45" s="12">
        <v>16369.305151435134</v>
      </c>
      <c r="J45" s="13">
        <f t="shared" si="8"/>
        <v>15623.30612950363</v>
      </c>
      <c r="K45" s="13">
        <f t="shared" si="1"/>
        <v>16504.607426466795</v>
      </c>
      <c r="L45" s="13">
        <f t="shared" si="9"/>
        <v>15623.30612950363</v>
      </c>
      <c r="M45" s="13">
        <f t="shared" si="3"/>
        <v>16481.808840642898</v>
      </c>
      <c r="N45" s="13">
        <f t="shared" si="4"/>
        <v>15623.30612950363</v>
      </c>
      <c r="O45" s="13">
        <f t="shared" si="5"/>
        <v>16282.791827693938</v>
      </c>
      <c r="R45">
        <f t="shared" si="6"/>
        <v>1.0581695561951938</v>
      </c>
      <c r="S45">
        <f t="shared" si="7"/>
        <v>1.0513632432069631</v>
      </c>
    </row>
    <row r="46" spans="1:19" x14ac:dyDescent="0.25">
      <c r="A46" s="10">
        <v>40544</v>
      </c>
      <c r="B46" s="2">
        <v>14881.3</v>
      </c>
      <c r="C46" s="2">
        <v>15836.2</v>
      </c>
      <c r="D46">
        <v>14881.3</v>
      </c>
      <c r="E46">
        <v>15813.6</v>
      </c>
      <c r="F46" s="2">
        <v>14881.3</v>
      </c>
      <c r="G46" s="2">
        <v>15615</v>
      </c>
      <c r="H46" s="12">
        <v>15769.911</v>
      </c>
      <c r="I46" s="12">
        <v>16430.464766780584</v>
      </c>
      <c r="J46" s="13">
        <f t="shared" si="8"/>
        <v>15562.963083538547</v>
      </c>
      <c r="K46" s="13">
        <f t="shared" si="1"/>
        <v>16561.603891026534</v>
      </c>
      <c r="L46" s="13">
        <f t="shared" si="9"/>
        <v>15562.963083538547</v>
      </c>
      <c r="M46" s="13">
        <f t="shared" si="3"/>
        <v>16537.968659851304</v>
      </c>
      <c r="N46" s="13">
        <f t="shared" si="4"/>
        <v>15562.963083538547</v>
      </c>
      <c r="O46" s="13">
        <f t="shared" si="5"/>
        <v>16330.271451382234</v>
      </c>
      <c r="R46">
        <f t="shared" si="6"/>
        <v>1.0597132642981459</v>
      </c>
      <c r="S46">
        <f t="shared" si="7"/>
        <v>1.0522231679014142</v>
      </c>
    </row>
    <row r="47" spans="1:19" x14ac:dyDescent="0.25">
      <c r="A47" s="10">
        <v>40634</v>
      </c>
      <c r="B47" s="2">
        <v>14989.6</v>
      </c>
      <c r="C47" s="2">
        <v>15892.5</v>
      </c>
      <c r="D47">
        <v>14989.6</v>
      </c>
      <c r="E47">
        <v>15869.2</v>
      </c>
      <c r="F47" s="2">
        <v>14989.6</v>
      </c>
      <c r="G47" s="2">
        <v>15662.2</v>
      </c>
      <c r="H47" s="12">
        <v>15876.839</v>
      </c>
      <c r="I47" s="12">
        <v>16494.124187380123</v>
      </c>
      <c r="J47" s="13">
        <f t="shared" si="8"/>
        <v>15676.22394797561</v>
      </c>
      <c r="K47" s="13">
        <f t="shared" si="1"/>
        <v>16620.48280762678</v>
      </c>
      <c r="L47" s="13">
        <f t="shared" si="9"/>
        <v>15676.22394797561</v>
      </c>
      <c r="M47" s="13">
        <f t="shared" si="3"/>
        <v>16596.115511769131</v>
      </c>
      <c r="N47" s="13">
        <f t="shared" si="4"/>
        <v>15676.22394797561</v>
      </c>
      <c r="O47" s="13">
        <f t="shared" si="5"/>
        <v>16379.633527111037</v>
      </c>
      <c r="R47">
        <f t="shared" si="6"/>
        <v>1.0591903052783262</v>
      </c>
      <c r="S47">
        <f t="shared" si="7"/>
        <v>1.0531166877820564</v>
      </c>
    </row>
    <row r="48" spans="1:19" x14ac:dyDescent="0.25">
      <c r="A48" s="10">
        <v>40725</v>
      </c>
      <c r="B48" s="2">
        <v>15021.1</v>
      </c>
      <c r="C48" s="2">
        <v>15950.5</v>
      </c>
      <c r="D48">
        <v>15021.1</v>
      </c>
      <c r="E48">
        <v>15926.3</v>
      </c>
      <c r="F48" s="2">
        <v>15021.1</v>
      </c>
      <c r="G48" s="2">
        <v>15711.5</v>
      </c>
      <c r="H48" s="12">
        <v>15870.683999999999</v>
      </c>
      <c r="I48" s="12">
        <v>16560.109528317294</v>
      </c>
      <c r="J48" s="13">
        <f t="shared" si="8"/>
        <v>15709.16685868445</v>
      </c>
      <c r="K48" s="13">
        <f t="shared" si="1"/>
        <v>16681.139595598612</v>
      </c>
      <c r="L48" s="13">
        <f t="shared" si="9"/>
        <v>15709.16685868445</v>
      </c>
      <c r="M48" s="13">
        <f t="shared" si="3"/>
        <v>16655.831073720707</v>
      </c>
      <c r="N48" s="13">
        <f t="shared" si="4"/>
        <v>15709.16685868445</v>
      </c>
      <c r="O48" s="13">
        <f t="shared" si="5"/>
        <v>16431.191796887095</v>
      </c>
      <c r="R48">
        <f t="shared" si="6"/>
        <v>1.0565593731484377</v>
      </c>
      <c r="S48">
        <f t="shared" si="7"/>
        <v>1.0540119993837185</v>
      </c>
    </row>
    <row r="49" spans="1:19" x14ac:dyDescent="0.25">
      <c r="A49" s="10">
        <v>40817</v>
      </c>
      <c r="B49" s="2">
        <v>15190.3</v>
      </c>
      <c r="C49" s="2">
        <v>16010.1</v>
      </c>
      <c r="D49">
        <v>15190.3</v>
      </c>
      <c r="E49">
        <v>15984.6</v>
      </c>
      <c r="F49" s="2">
        <v>15190.3</v>
      </c>
      <c r="G49" s="2">
        <v>15762.9</v>
      </c>
      <c r="H49" s="12">
        <v>16048.701999999999</v>
      </c>
      <c r="I49" s="12">
        <v>16627.891653548617</v>
      </c>
      <c r="J49" s="13">
        <f t="shared" si="8"/>
        <v>15886.117350491933</v>
      </c>
      <c r="K49" s="13">
        <f t="shared" si="1"/>
        <v>16743.469674273118</v>
      </c>
      <c r="L49" s="13">
        <f t="shared" si="9"/>
        <v>15886.117350491933</v>
      </c>
      <c r="M49" s="13">
        <f t="shared" si="3"/>
        <v>16716.801603699292</v>
      </c>
      <c r="N49" s="13">
        <f t="shared" si="4"/>
        <v>15886.117350491933</v>
      </c>
      <c r="O49" s="13">
        <f t="shared" si="5"/>
        <v>16484.946260710407</v>
      </c>
      <c r="R49">
        <f t="shared" si="6"/>
        <v>1.056509878014259</v>
      </c>
      <c r="S49">
        <f t="shared" si="7"/>
        <v>1.0548751596183834</v>
      </c>
    </row>
    <row r="50" spans="1:19" x14ac:dyDescent="0.25">
      <c r="A50" s="10">
        <v>40909</v>
      </c>
      <c r="B50" s="2">
        <v>15275</v>
      </c>
      <c r="C50" s="2">
        <v>16071.5</v>
      </c>
      <c r="D50">
        <v>15291</v>
      </c>
      <c r="E50">
        <v>16041.8</v>
      </c>
      <c r="F50" s="2">
        <v>15291</v>
      </c>
      <c r="G50" s="2">
        <v>15815.8</v>
      </c>
      <c r="H50" s="12">
        <v>16179.968000000001</v>
      </c>
      <c r="I50" s="12">
        <v>16697.390719924417</v>
      </c>
      <c r="J50" s="13">
        <f t="shared" si="8"/>
        <v>15974.697177064592</v>
      </c>
      <c r="K50" s="13">
        <f t="shared" si="1"/>
        <v>16807.682204988123</v>
      </c>
      <c r="L50" s="13">
        <f t="shared" si="9"/>
        <v>15991.430084091306</v>
      </c>
      <c r="M50" s="13">
        <f t="shared" si="3"/>
        <v>16776.62174631979</v>
      </c>
      <c r="N50" s="13">
        <f t="shared" si="4"/>
        <v>15991.430084091306</v>
      </c>
      <c r="O50" s="13">
        <f t="shared" si="5"/>
        <v>16540.269434567475</v>
      </c>
      <c r="R50">
        <f t="shared" si="6"/>
        <v>1.0581366817081943</v>
      </c>
      <c r="S50">
        <f t="shared" si="7"/>
        <v>1.0557411398680066</v>
      </c>
    </row>
    <row r="51" spans="1:19" x14ac:dyDescent="0.25">
      <c r="A51" s="10">
        <v>41000</v>
      </c>
      <c r="B51" s="2">
        <v>15336.7</v>
      </c>
      <c r="C51" s="2">
        <v>16135.2</v>
      </c>
      <c r="D51">
        <v>15362.4</v>
      </c>
      <c r="E51">
        <v>16100.3</v>
      </c>
      <c r="F51" s="2">
        <v>15362.4</v>
      </c>
      <c r="G51" s="2">
        <v>15871.4</v>
      </c>
      <c r="H51" s="12">
        <v>16253.726000000001</v>
      </c>
      <c r="I51" s="12">
        <v>16768.971178461616</v>
      </c>
      <c r="J51" s="13">
        <f t="shared" si="8"/>
        <v>16039.223449786354</v>
      </c>
      <c r="K51" s="13">
        <f t="shared" si="1"/>
        <v>16874.300091088226</v>
      </c>
      <c r="L51" s="13">
        <f t="shared" si="9"/>
        <v>16066.10068169801</v>
      </c>
      <c r="M51" s="13">
        <f t="shared" si="3"/>
        <v>16837.801437636208</v>
      </c>
      <c r="N51" s="13">
        <f t="shared" si="4"/>
        <v>16066.10068169801</v>
      </c>
      <c r="O51" s="13">
        <f t="shared" si="5"/>
        <v>16598.416286485302</v>
      </c>
      <c r="R51">
        <f t="shared" si="6"/>
        <v>1.0580199708378899</v>
      </c>
      <c r="S51">
        <f t="shared" si="7"/>
        <v>1.0565527413121474</v>
      </c>
    </row>
    <row r="52" spans="1:19" x14ac:dyDescent="0.25">
      <c r="A52" s="10">
        <v>41091</v>
      </c>
      <c r="B52" s="2">
        <v>15431.3</v>
      </c>
      <c r="C52" s="2">
        <v>16200.1</v>
      </c>
      <c r="D52">
        <v>15380.8</v>
      </c>
      <c r="E52">
        <v>16159.4</v>
      </c>
      <c r="F52" s="2">
        <v>15380.8</v>
      </c>
      <c r="G52" s="2">
        <v>15929</v>
      </c>
      <c r="H52" s="12">
        <v>16282.151</v>
      </c>
      <c r="I52" s="12">
        <v>16842.160314521388</v>
      </c>
      <c r="J52" s="13">
        <f t="shared" si="8"/>
        <v>16138.15676258179</v>
      </c>
      <c r="K52" s="13">
        <f t="shared" si="1"/>
        <v>16942.172945215327</v>
      </c>
      <c r="L52" s="13">
        <f t="shared" si="9"/>
        <v>16085.343524778729</v>
      </c>
      <c r="M52" s="13">
        <f t="shared" si="3"/>
        <v>16899.608612966127</v>
      </c>
      <c r="N52" s="13">
        <f t="shared" si="4"/>
        <v>16085.343524778729</v>
      </c>
      <c r="O52" s="13">
        <f t="shared" si="5"/>
        <v>16658.654751781465</v>
      </c>
      <c r="R52">
        <f t="shared" si="6"/>
        <v>1.058602348382399</v>
      </c>
      <c r="S52">
        <f t="shared" si="7"/>
        <v>1.0573269078109981</v>
      </c>
    </row>
    <row r="53" spans="1:19" x14ac:dyDescent="0.25">
      <c r="A53" s="10">
        <v>41183</v>
      </c>
      <c r="B53" s="2">
        <v>15433.7</v>
      </c>
      <c r="C53" s="2">
        <v>16266</v>
      </c>
      <c r="D53">
        <v>15384.3</v>
      </c>
      <c r="E53">
        <v>16218.9</v>
      </c>
      <c r="F53" s="2">
        <v>15384.3</v>
      </c>
      <c r="G53" s="2">
        <v>15988.3</v>
      </c>
      <c r="H53" s="12">
        <v>16300.035</v>
      </c>
      <c r="I53" s="12">
        <v>16916.653882648665</v>
      </c>
      <c r="J53" s="13">
        <f t="shared" si="8"/>
        <v>16140.666698635798</v>
      </c>
      <c r="K53" s="13">
        <f t="shared" si="1"/>
        <v>17011.091606031598</v>
      </c>
      <c r="L53" s="13">
        <f t="shared" si="9"/>
        <v>16089.003848190821</v>
      </c>
      <c r="M53" s="13">
        <f t="shared" si="3"/>
        <v>16961.834110971715</v>
      </c>
      <c r="N53" s="13">
        <f t="shared" si="4"/>
        <v>16089.003848190821</v>
      </c>
      <c r="O53" s="13">
        <f t="shared" si="5"/>
        <v>16720.67108844922</v>
      </c>
      <c r="R53">
        <f t="shared" si="6"/>
        <v>1.0595239952419024</v>
      </c>
      <c r="S53">
        <f t="shared" si="7"/>
        <v>1.0580645773877564</v>
      </c>
    </row>
    <row r="54" spans="1:19" x14ac:dyDescent="0.25">
      <c r="A54" s="10">
        <v>41275</v>
      </c>
      <c r="B54" s="2">
        <v>15538.4</v>
      </c>
      <c r="C54" s="2">
        <v>16332.3</v>
      </c>
      <c r="D54">
        <v>15457.2</v>
      </c>
      <c r="E54">
        <v>16279.2</v>
      </c>
      <c r="F54" s="2">
        <v>15491.9</v>
      </c>
      <c r="G54" s="2">
        <v>16049.3</v>
      </c>
      <c r="H54" s="12">
        <v>16441.485000000001</v>
      </c>
      <c r="I54" s="12">
        <v>16992.571486427674</v>
      </c>
      <c r="J54" s="13">
        <f t="shared" si="8"/>
        <v>16250.162658991847</v>
      </c>
      <c r="K54" s="13">
        <f t="shared" si="1"/>
        <v>17080.428589523537</v>
      </c>
      <c r="L54" s="13">
        <f t="shared" si="9"/>
        <v>16165.243155831282</v>
      </c>
      <c r="M54" s="13">
        <f t="shared" si="3"/>
        <v>17024.896254328636</v>
      </c>
      <c r="N54" s="13">
        <f t="shared" si="4"/>
        <v>16201.532647945463</v>
      </c>
      <c r="O54" s="13">
        <f t="shared" si="5"/>
        <v>16784.465296488561</v>
      </c>
      <c r="R54">
        <f t="shared" si="6"/>
        <v>1.0612955802709805</v>
      </c>
      <c r="S54">
        <f t="shared" si="7"/>
        <v>1.0587733724478747</v>
      </c>
    </row>
    <row r="55" spans="1:19" x14ac:dyDescent="0.25">
      <c r="A55" s="10">
        <v>41365</v>
      </c>
      <c r="B55" s="2">
        <v>15606.6</v>
      </c>
      <c r="C55" s="2">
        <v>16398</v>
      </c>
      <c r="D55">
        <v>15500.2</v>
      </c>
      <c r="E55">
        <v>16338.4</v>
      </c>
      <c r="F55" s="2">
        <v>15521.6</v>
      </c>
      <c r="G55" s="2">
        <v>16111.4</v>
      </c>
      <c r="H55" s="12">
        <v>16464.401999999998</v>
      </c>
      <c r="I55" s="12">
        <v>17069.566062011083</v>
      </c>
      <c r="J55" s="13">
        <f t="shared" si="8"/>
        <v>16321.48667519321</v>
      </c>
      <c r="K55" s="13">
        <f t="shared" si="1"/>
        <v>17149.138089001975</v>
      </c>
      <c r="L55" s="13">
        <f t="shared" si="9"/>
        <v>16210.212843465571</v>
      </c>
      <c r="M55" s="13">
        <f t="shared" si="3"/>
        <v>17086.808010327473</v>
      </c>
      <c r="N55" s="13">
        <f t="shared" si="4"/>
        <v>16232.5931066138</v>
      </c>
      <c r="O55" s="13">
        <f t="shared" si="5"/>
        <v>16849.409891885989</v>
      </c>
      <c r="R55">
        <f t="shared" si="6"/>
        <v>1.0607412895577775</v>
      </c>
      <c r="S55">
        <f t="shared" si="7"/>
        <v>1.0594713098806487</v>
      </c>
    </row>
    <row r="56" spans="1:19" x14ac:dyDescent="0.25">
      <c r="A56" s="10">
        <v>41456</v>
      </c>
      <c r="B56" s="2">
        <v>15779.9</v>
      </c>
      <c r="C56" s="2">
        <v>16464.2</v>
      </c>
      <c r="D56">
        <v>15614.4</v>
      </c>
      <c r="E56">
        <v>16398.099999999999</v>
      </c>
      <c r="F56" s="2">
        <v>15641.3</v>
      </c>
      <c r="G56" s="2">
        <v>16174.5</v>
      </c>
      <c r="H56" s="12">
        <v>16594.742999999999</v>
      </c>
      <c r="I56" s="12">
        <v>17147.150782277757</v>
      </c>
      <c r="J56" s="13">
        <f t="shared" si="8"/>
        <v>16502.724974426288</v>
      </c>
      <c r="K56" s="13">
        <f t="shared" si="1"/>
        <v>17218.370491825</v>
      </c>
      <c r="L56" s="13">
        <f t="shared" si="9"/>
        <v>16329.643967368731</v>
      </c>
      <c r="M56" s="13">
        <f t="shared" si="3"/>
        <v>17149.242669670894</v>
      </c>
      <c r="N56" s="13">
        <f t="shared" si="4"/>
        <v>16357.776167307391</v>
      </c>
      <c r="O56" s="13">
        <f t="shared" si="5"/>
        <v>16915.400293972587</v>
      </c>
      <c r="R56">
        <f t="shared" si="6"/>
        <v>1.0609567619059797</v>
      </c>
      <c r="S56">
        <f t="shared" si="7"/>
        <v>1.0601348284199053</v>
      </c>
    </row>
    <row r="57" spans="1:19" x14ac:dyDescent="0.25">
      <c r="A57" s="10">
        <v>41548</v>
      </c>
      <c r="B57" s="2">
        <v>15916.2</v>
      </c>
      <c r="C57" s="2">
        <v>16531</v>
      </c>
      <c r="D57">
        <v>15761.5</v>
      </c>
      <c r="E57">
        <v>16458.3</v>
      </c>
      <c r="F57" s="2">
        <v>15793.9</v>
      </c>
      <c r="G57" s="2">
        <v>16238.5</v>
      </c>
      <c r="H57" s="12">
        <v>16712.759999999998</v>
      </c>
      <c r="I57" s="12">
        <v>17225.802388399334</v>
      </c>
      <c r="J57" s="13">
        <f t="shared" si="8"/>
        <v>16645.268426160099</v>
      </c>
      <c r="K57" s="13">
        <f t="shared" si="1"/>
        <v>17288.230378661523</v>
      </c>
      <c r="L57" s="13">
        <f t="shared" si="9"/>
        <v>16483.482131345569</v>
      </c>
      <c r="M57" s="13">
        <f t="shared" si="3"/>
        <v>17212.2002323589</v>
      </c>
      <c r="N57" s="13">
        <f t="shared" si="4"/>
        <v>16517.366268074664</v>
      </c>
      <c r="O57" s="13">
        <f t="shared" si="5"/>
        <v>16982.331922079436</v>
      </c>
      <c r="R57">
        <f t="shared" si="6"/>
        <v>1.0581781573898783</v>
      </c>
      <c r="S57">
        <f t="shared" si="7"/>
        <v>1.0608000978168755</v>
      </c>
    </row>
    <row r="58" spans="1:19" x14ac:dyDescent="0.25">
      <c r="A58" s="10">
        <v>41640</v>
      </c>
      <c r="B58" s="2">
        <v>15831.7</v>
      </c>
      <c r="C58" s="2">
        <v>16597.8</v>
      </c>
      <c r="D58">
        <v>15724.9</v>
      </c>
      <c r="E58">
        <v>16519</v>
      </c>
      <c r="F58" s="2">
        <v>15747</v>
      </c>
      <c r="G58" s="2">
        <v>16302.5</v>
      </c>
      <c r="H58" s="12">
        <v>16654.246999999999</v>
      </c>
      <c r="I58" s="12">
        <v>17305.419454168063</v>
      </c>
      <c r="J58" s="13">
        <f t="shared" si="8"/>
        <v>16556.897760925272</v>
      </c>
      <c r="K58" s="13">
        <f t="shared" si="1"/>
        <v>17358.090265498049</v>
      </c>
      <c r="L58" s="13">
        <f t="shared" si="9"/>
        <v>16445.205606521966</v>
      </c>
      <c r="M58" s="13">
        <f t="shared" si="3"/>
        <v>17275.68069839149</v>
      </c>
      <c r="N58" s="13">
        <f t="shared" si="4"/>
        <v>16468.317934352614</v>
      </c>
      <c r="O58" s="13">
        <f t="shared" si="5"/>
        <v>17049.263550186286</v>
      </c>
      <c r="R58">
        <f t="shared" si="6"/>
        <v>1.057613958214263</v>
      </c>
      <c r="S58">
        <f t="shared" si="7"/>
        <v>1.061519365383718</v>
      </c>
    </row>
    <row r="59" spans="1:19" x14ac:dyDescent="0.25">
      <c r="A59" s="10">
        <v>41730</v>
      </c>
      <c r="B59" s="2">
        <v>16010.4</v>
      </c>
      <c r="C59" s="2">
        <v>16665.3</v>
      </c>
      <c r="D59">
        <v>15901.5</v>
      </c>
      <c r="E59">
        <v>16581.5</v>
      </c>
      <c r="F59" s="2">
        <v>15900.8</v>
      </c>
      <c r="G59" s="2">
        <v>16367.8</v>
      </c>
      <c r="H59" s="12">
        <v>16868.109</v>
      </c>
      <c r="I59" s="12">
        <v>17385.710529393622</v>
      </c>
      <c r="J59" s="13">
        <f t="shared" si="8"/>
        <v>16743.783416279864</v>
      </c>
      <c r="K59" s="13">
        <f t="shared" si="1"/>
        <v>17428.682217016991</v>
      </c>
      <c r="L59" s="13">
        <f t="shared" si="9"/>
        <v>16629.895067829304</v>
      </c>
      <c r="M59" s="13">
        <f t="shared" si="3"/>
        <v>17341.043616464587</v>
      </c>
      <c r="N59" s="13">
        <f t="shared" si="4"/>
        <v>16629.163003146885</v>
      </c>
      <c r="O59" s="13">
        <f t="shared" si="5"/>
        <v>17117.554726989056</v>
      </c>
      <c r="R59">
        <f t="shared" si="6"/>
        <v>1.060833983195814</v>
      </c>
      <c r="S59">
        <f t="shared" si="7"/>
        <v>1.0621898196088431</v>
      </c>
    </row>
    <row r="60" spans="1:19" x14ac:dyDescent="0.25">
      <c r="A60" s="10">
        <v>41821</v>
      </c>
      <c r="B60" s="2">
        <v>16150.6</v>
      </c>
      <c r="C60" s="2">
        <v>16734.5</v>
      </c>
      <c r="D60">
        <v>16068.8</v>
      </c>
      <c r="E60">
        <v>16645.8</v>
      </c>
      <c r="F60" s="2">
        <v>16094.5</v>
      </c>
      <c r="G60" s="2">
        <v>16433.7</v>
      </c>
      <c r="H60" s="12">
        <v>17064.616000000002</v>
      </c>
      <c r="I60" s="12">
        <v>17467.54920948041</v>
      </c>
      <c r="J60" s="13">
        <f t="shared" si="8"/>
        <v>16890.405514101436</v>
      </c>
      <c r="K60" s="13">
        <f t="shared" si="1"/>
        <v>17501.052039907525</v>
      </c>
      <c r="L60" s="13">
        <f t="shared" si="9"/>
        <v>16804.858526927368</v>
      </c>
      <c r="M60" s="13">
        <f t="shared" si="3"/>
        <v>17408.288986578187</v>
      </c>
      <c r="N60" s="13">
        <f t="shared" si="4"/>
        <v>16831.735758839022</v>
      </c>
      <c r="O60" s="13">
        <f t="shared" si="5"/>
        <v>17186.47338780533</v>
      </c>
      <c r="R60">
        <f t="shared" si="6"/>
        <v>1.0602762434371991</v>
      </c>
      <c r="S60">
        <f t="shared" si="7"/>
        <v>1.0629103129228603</v>
      </c>
    </row>
    <row r="61" spans="1:19" x14ac:dyDescent="0.25">
      <c r="A61" s="10">
        <v>41913</v>
      </c>
      <c r="B61" s="2"/>
      <c r="C61" s="2">
        <v>16805.8</v>
      </c>
      <c r="D61">
        <v>16151.4</v>
      </c>
      <c r="E61">
        <v>16712</v>
      </c>
      <c r="F61" s="2">
        <v>16186.7</v>
      </c>
      <c r="G61" s="2">
        <v>16500.099999999999</v>
      </c>
      <c r="H61" s="12">
        <v>17141.235000000001</v>
      </c>
      <c r="I61" s="12">
        <v>17550.014792008409</v>
      </c>
      <c r="K61" s="13">
        <f t="shared" si="1"/>
        <v>17575.618056845309</v>
      </c>
      <c r="L61" s="13">
        <f t="shared" si="9"/>
        <v>16891.24215945277</v>
      </c>
      <c r="M61" s="13">
        <f t="shared" si="3"/>
        <v>17477.521389401209</v>
      </c>
      <c r="N61" s="13">
        <f t="shared" si="4"/>
        <v>16928.159135580456</v>
      </c>
      <c r="O61" s="13">
        <f t="shared" si="5"/>
        <v>17255.914951966184</v>
      </c>
      <c r="R61">
        <f t="shared" si="6"/>
        <v>1.0589703274910884</v>
      </c>
      <c r="S61">
        <f t="shared" si="7"/>
        <v>1.0636308138743651</v>
      </c>
    </row>
    <row r="62" spans="1:19" x14ac:dyDescent="0.25">
      <c r="A62" s="10">
        <v>42005</v>
      </c>
      <c r="B62" s="2"/>
      <c r="C62" s="2">
        <v>16880.599999999999</v>
      </c>
      <c r="D62">
        <v>16177.3</v>
      </c>
      <c r="E62">
        <v>16781.7</v>
      </c>
      <c r="F62" s="2">
        <v>16269</v>
      </c>
      <c r="G62" s="2">
        <v>16567.099999999999</v>
      </c>
      <c r="H62" s="12">
        <v>17280.647000000001</v>
      </c>
      <c r="I62" s="12">
        <v>17632.760612537964</v>
      </c>
      <c r="K62" s="13">
        <f t="shared" si="1"/>
        <v>17653.844397195193</v>
      </c>
      <c r="L62" s="13">
        <f t="shared" si="9"/>
        <v>16918.32855270226</v>
      </c>
      <c r="M62" s="13">
        <f t="shared" si="3"/>
        <v>17550.414115636326</v>
      </c>
      <c r="N62" s="13">
        <f t="shared" si="4"/>
        <v>17014.229026099107</v>
      </c>
      <c r="O62" s="13">
        <f t="shared" si="5"/>
        <v>17325.984000140543</v>
      </c>
      <c r="R62">
        <f t="shared" si="6"/>
        <v>1.0621824943143403</v>
      </c>
      <c r="S62">
        <f t="shared" si="7"/>
        <v>1.0643239077773399</v>
      </c>
    </row>
    <row r="63" spans="1:19" x14ac:dyDescent="0.25">
      <c r="A63" s="10">
        <v>42095</v>
      </c>
      <c r="B63" s="2"/>
      <c r="C63" s="2">
        <v>16958.400000000001</v>
      </c>
      <c r="D63">
        <v>16333.6</v>
      </c>
      <c r="E63">
        <v>16853.099999999999</v>
      </c>
      <c r="F63" s="2">
        <v>16374.2</v>
      </c>
      <c r="G63" s="2">
        <v>16633.900000000001</v>
      </c>
      <c r="H63" s="12">
        <v>17380.875</v>
      </c>
      <c r="I63" s="12">
        <v>17715.601334992039</v>
      </c>
      <c r="K63" s="13">
        <f t="shared" si="1"/>
        <v>17735.208157612582</v>
      </c>
      <c r="L63" s="13">
        <f t="shared" si="9"/>
        <v>17081.788138219461</v>
      </c>
      <c r="M63" s="13">
        <f t="shared" si="3"/>
        <v>17625.084713243028</v>
      </c>
      <c r="N63" s="13">
        <f t="shared" si="4"/>
        <v>17124.247889799743</v>
      </c>
      <c r="O63" s="13">
        <f t="shared" si="5"/>
        <v>17395.843886977073</v>
      </c>
      <c r="R63">
        <f t="shared" si="6"/>
        <v>1.0614793394486448</v>
      </c>
      <c r="S63">
        <f t="shared" si="7"/>
        <v>1.065029928939818</v>
      </c>
    </row>
    <row r="64" spans="1:19" x14ac:dyDescent="0.25">
      <c r="A64" s="10">
        <v>42186</v>
      </c>
      <c r="B64" s="2"/>
      <c r="C64" s="2">
        <v>17038.900000000001</v>
      </c>
      <c r="D64">
        <v>16394.2</v>
      </c>
      <c r="E64">
        <v>16926.5</v>
      </c>
      <c r="F64" s="2">
        <v>16454.900000000001</v>
      </c>
      <c r="G64" s="2">
        <v>16700.599999999999</v>
      </c>
      <c r="H64" s="12">
        <v>17437.080000000002</v>
      </c>
      <c r="I64" s="12">
        <v>17797.91133893585</v>
      </c>
      <c r="K64" s="13">
        <f t="shared" si="1"/>
        <v>17819.39559609073</v>
      </c>
      <c r="L64" s="13">
        <f t="shared" si="9"/>
        <v>17145.164023583133</v>
      </c>
      <c r="M64" s="13">
        <f t="shared" si="3"/>
        <v>17701.846924228073</v>
      </c>
      <c r="N64" s="13">
        <f t="shared" si="4"/>
        <v>17208.644489615726</v>
      </c>
      <c r="O64" s="13">
        <f t="shared" si="5"/>
        <v>17465.599193144677</v>
      </c>
      <c r="R64">
        <f t="shared" si="6"/>
        <v>1.0596892111164455</v>
      </c>
      <c r="S64">
        <f t="shared" si="7"/>
        <v>1.0657049051492671</v>
      </c>
    </row>
    <row r="65" spans="1:19" x14ac:dyDescent="0.25">
      <c r="A65" s="10">
        <v>42278</v>
      </c>
      <c r="B65" s="2"/>
      <c r="C65" s="2">
        <v>17122.099999999999</v>
      </c>
      <c r="E65">
        <v>17001.8</v>
      </c>
      <c r="F65" s="2">
        <v>16490.7</v>
      </c>
      <c r="G65" s="2">
        <v>16767</v>
      </c>
      <c r="H65" s="12">
        <v>17462.579000000002</v>
      </c>
      <c r="I65" s="12">
        <v>17879.075022707257</v>
      </c>
      <c r="K65" s="13">
        <f t="shared" si="1"/>
        <v>17906.406712629632</v>
      </c>
      <c r="M65" s="13">
        <f t="shared" si="3"/>
        <v>17780.59616792254</v>
      </c>
      <c r="N65" s="13">
        <f t="shared" si="4"/>
        <v>17246.084369087992</v>
      </c>
      <c r="O65" s="13">
        <f t="shared" si="5"/>
        <v>17535.040757305534</v>
      </c>
      <c r="R65">
        <f t="shared" si="6"/>
        <v>1.0589349754710231</v>
      </c>
      <c r="S65">
        <f t="shared" si="7"/>
        <v>1.0663252235168639</v>
      </c>
    </row>
    <row r="66" spans="1:19" x14ac:dyDescent="0.25">
      <c r="A66" s="10">
        <v>42370</v>
      </c>
      <c r="B66" s="2"/>
      <c r="C66" s="2">
        <v>17208.099999999999</v>
      </c>
      <c r="E66">
        <v>17078.599999999999</v>
      </c>
      <c r="F66" s="2">
        <v>16525</v>
      </c>
      <c r="G66" s="2">
        <v>16832.400000000001</v>
      </c>
      <c r="H66" s="12">
        <v>17565.465</v>
      </c>
      <c r="I66" s="12">
        <v>17959.524725668442</v>
      </c>
      <c r="K66" s="13">
        <f t="shared" ref="K66:K72" si="10">C66*$T$2</f>
        <v>17996.346087898211</v>
      </c>
      <c r="M66" s="13">
        <f t="shared" ref="M66:M105" si="11">E66*$T$2</f>
        <v>17860.91412165076</v>
      </c>
      <c r="N66" s="13">
        <f t="shared" ref="N66:O68" si="12">F66*$T$2</f>
        <v>17281.955538526508</v>
      </c>
      <c r="O66" s="13">
        <f t="shared" si="12"/>
        <v>17603.436514777222</v>
      </c>
      <c r="R66">
        <f t="shared" si="6"/>
        <v>1.0629630862329804</v>
      </c>
      <c r="S66">
        <f t="shared" si="7"/>
        <v>1.0669616172184857</v>
      </c>
    </row>
    <row r="67" spans="1:19" x14ac:dyDescent="0.25">
      <c r="A67" s="10">
        <v>42461</v>
      </c>
      <c r="B67" s="2"/>
      <c r="C67" s="2">
        <v>17296.7</v>
      </c>
      <c r="E67">
        <v>17157.599999999999</v>
      </c>
      <c r="F67" s="2">
        <v>16583.099999999999</v>
      </c>
      <c r="G67" s="2">
        <v>16896.8</v>
      </c>
      <c r="H67" s="12">
        <v>17618.580999999998</v>
      </c>
      <c r="I67" s="12">
        <v>18039.058551483766</v>
      </c>
      <c r="K67" s="13">
        <f t="shared" si="10"/>
        <v>18089.004560558635</v>
      </c>
      <c r="M67" s="13">
        <f t="shared" si="11"/>
        <v>17943.532850095151</v>
      </c>
      <c r="N67" s="13">
        <f t="shared" si="12"/>
        <v>17342.716907167254</v>
      </c>
      <c r="O67" s="13">
        <f t="shared" si="12"/>
        <v>17670.786465559737</v>
      </c>
      <c r="R67">
        <f t="shared" ref="R67:R78" si="13">H67/F67</f>
        <v>1.0624419439067485</v>
      </c>
      <c r="S67">
        <f t="shared" ref="S67:S78" si="14">I67/G67</f>
        <v>1.0676020637921835</v>
      </c>
    </row>
    <row r="68" spans="1:19" x14ac:dyDescent="0.25">
      <c r="A68" s="10">
        <v>42552</v>
      </c>
      <c r="B68" s="2"/>
      <c r="C68" s="2">
        <v>17387.599999999999</v>
      </c>
      <c r="E68">
        <v>17238.900000000001</v>
      </c>
      <c r="F68" s="2">
        <v>16702.099999999999</v>
      </c>
      <c r="G68" s="2">
        <v>16961.099999999999</v>
      </c>
      <c r="H68" s="12">
        <v>17724.489000000001</v>
      </c>
      <c r="I68" s="12">
        <v>18117.649189862594</v>
      </c>
      <c r="K68" s="13">
        <f t="shared" si="10"/>
        <v>18184.068388604144</v>
      </c>
      <c r="M68" s="13">
        <f t="shared" si="11"/>
        <v>18028.556933924636</v>
      </c>
      <c r="N68" s="13">
        <f t="shared" si="12"/>
        <v>17467.16790317843</v>
      </c>
      <c r="O68" s="13">
        <f t="shared" si="12"/>
        <v>17738.031835673337</v>
      </c>
      <c r="R68">
        <f t="shared" si="13"/>
        <v>1.0612132007352371</v>
      </c>
      <c r="S68">
        <f t="shared" si="14"/>
        <v>1.068188336243675</v>
      </c>
    </row>
    <row r="69" spans="1:19" x14ac:dyDescent="0.25">
      <c r="A69" s="10">
        <v>42644</v>
      </c>
      <c r="C69" s="2">
        <v>17480.5</v>
      </c>
      <c r="E69">
        <v>17322.5</v>
      </c>
      <c r="G69" s="2">
        <v>17025.599999999999</v>
      </c>
      <c r="H69" s="12">
        <v>17812.560000000001</v>
      </c>
      <c r="I69" s="12">
        <v>18195.876939707825</v>
      </c>
      <c r="K69" s="13">
        <f t="shared" si="10"/>
        <v>18281.223830027993</v>
      </c>
      <c r="M69" s="13">
        <f t="shared" si="11"/>
        <v>18115.986373139207</v>
      </c>
      <c r="O69" s="13">
        <f t="shared" ref="O69:O79" si="15">G69*$T$2</f>
        <v>17805.486367124773</v>
      </c>
      <c r="R69" t="e">
        <f t="shared" si="13"/>
        <v>#DIV/0!</v>
      </c>
      <c r="S69">
        <f t="shared" si="14"/>
        <v>1.0687363111847938</v>
      </c>
    </row>
    <row r="70" spans="1:19" x14ac:dyDescent="0.25">
      <c r="A70" s="10">
        <v>42736</v>
      </c>
      <c r="C70" s="2">
        <v>17575</v>
      </c>
      <c r="E70">
        <v>17409.2</v>
      </c>
      <c r="G70" s="2">
        <v>17090.8</v>
      </c>
      <c r="H70" s="12">
        <v>17889.094000000001</v>
      </c>
      <c r="I70" s="12">
        <v>18274.532822062818</v>
      </c>
      <c r="K70" s="13">
        <f t="shared" si="10"/>
        <v>18380.052562154517</v>
      </c>
      <c r="M70" s="13">
        <f t="shared" si="11"/>
        <v>18206.657813090209</v>
      </c>
      <c r="O70" s="13">
        <f t="shared" si="15"/>
        <v>17873.672963258628</v>
      </c>
      <c r="R70" t="e">
        <f t="shared" si="13"/>
        <v>#DIV/0!</v>
      </c>
      <c r="S70">
        <f t="shared" si="14"/>
        <v>1.0692614050871123</v>
      </c>
    </row>
    <row r="71" spans="1:19" x14ac:dyDescent="0.25">
      <c r="A71" s="10">
        <v>42826</v>
      </c>
      <c r="C71" s="2">
        <v>17671.7</v>
      </c>
      <c r="E71">
        <v>17499</v>
      </c>
      <c r="G71" s="2">
        <v>17156.7</v>
      </c>
      <c r="H71" s="12">
        <v>17979.218000000001</v>
      </c>
      <c r="I71" s="12">
        <v>18352.950873578</v>
      </c>
      <c r="K71" s="13">
        <f t="shared" si="10"/>
        <v>18481.182068997208</v>
      </c>
      <c r="M71" s="13">
        <f t="shared" si="11"/>
        <v>18300.571253777631</v>
      </c>
      <c r="O71" s="13">
        <f t="shared" si="15"/>
        <v>17942.591624074899</v>
      </c>
      <c r="R71" t="e">
        <f t="shared" si="13"/>
        <v>#DIV/0!</v>
      </c>
      <c r="S71">
        <f t="shared" si="14"/>
        <v>1.0697249980228132</v>
      </c>
    </row>
    <row r="72" spans="1:19" x14ac:dyDescent="0.25">
      <c r="A72" s="10">
        <v>42917</v>
      </c>
      <c r="C72" s="2">
        <v>17770</v>
      </c>
      <c r="E72">
        <v>17591</v>
      </c>
      <c r="G72" s="2">
        <v>17223.400000000001</v>
      </c>
      <c r="H72" s="12">
        <v>18127.993999999999</v>
      </c>
      <c r="I72" s="12">
        <v>18433.50352198413</v>
      </c>
      <c r="K72" s="13">
        <f t="shared" si="10"/>
        <v>18583.984866542574</v>
      </c>
      <c r="M72" s="13">
        <f t="shared" si="11"/>
        <v>18396.785469181228</v>
      </c>
      <c r="O72" s="13">
        <f t="shared" si="15"/>
        <v>18012.346930242511</v>
      </c>
      <c r="R72" t="e">
        <f t="shared" si="13"/>
        <v>#DIV/0!</v>
      </c>
      <c r="S72">
        <f t="shared" si="14"/>
        <v>1.0702592706425054</v>
      </c>
    </row>
    <row r="73" spans="1:19" x14ac:dyDescent="0.25">
      <c r="A73" s="10">
        <v>43009</v>
      </c>
      <c r="C73" s="2"/>
      <c r="E73">
        <v>17685</v>
      </c>
      <c r="G73" s="2">
        <v>17291.400000000001</v>
      </c>
      <c r="H73" s="12">
        <v>18310.3</v>
      </c>
      <c r="I73" s="12">
        <v>18516.076051463522</v>
      </c>
      <c r="M73" s="13">
        <f t="shared" si="11"/>
        <v>18495.091297963165</v>
      </c>
      <c r="O73" s="13">
        <f t="shared" si="15"/>
        <v>18083.461785106039</v>
      </c>
      <c r="R73" t="e">
        <f t="shared" si="13"/>
        <v>#DIV/0!</v>
      </c>
      <c r="S73">
        <f t="shared" si="14"/>
        <v>1.0708257313730247</v>
      </c>
    </row>
    <row r="74" spans="1:19" x14ac:dyDescent="0.25">
      <c r="A74" s="10">
        <v>43101</v>
      </c>
      <c r="C74" s="2"/>
      <c r="E74">
        <v>17780.599999999999</v>
      </c>
      <c r="G74" s="2">
        <v>17361.400000000001</v>
      </c>
      <c r="H74" s="12">
        <v>18437.127</v>
      </c>
      <c r="I74" s="12">
        <v>18600.542516946021</v>
      </c>
      <c r="M74" s="13">
        <f t="shared" si="11"/>
        <v>18595.070417447769</v>
      </c>
      <c r="O74" s="13">
        <f t="shared" si="15"/>
        <v>18156.668253347903</v>
      </c>
      <c r="R74" t="e">
        <f t="shared" si="13"/>
        <v>#DIV/0!</v>
      </c>
      <c r="S74">
        <f t="shared" si="14"/>
        <v>1.07137342132236</v>
      </c>
    </row>
    <row r="75" spans="1:19" x14ac:dyDescent="0.25">
      <c r="A75" s="10">
        <v>43191</v>
      </c>
      <c r="C75" s="2"/>
      <c r="E75">
        <v>17877.7</v>
      </c>
      <c r="G75" s="2">
        <v>17432.900000000001</v>
      </c>
      <c r="H75" s="12">
        <v>18565.697</v>
      </c>
      <c r="I75" s="12">
        <v>18687.322097031873</v>
      </c>
      <c r="M75" s="13">
        <f t="shared" si="11"/>
        <v>18696.618246966133</v>
      </c>
      <c r="O75" s="13">
        <f t="shared" si="15"/>
        <v>18231.443431623527</v>
      </c>
      <c r="R75" t="e">
        <f t="shared" si="13"/>
        <v>#DIV/0!</v>
      </c>
      <c r="S75">
        <f t="shared" si="14"/>
        <v>1.0719571670251002</v>
      </c>
    </row>
    <row r="76" spans="1:19" x14ac:dyDescent="0.25">
      <c r="A76" s="10">
        <v>43282</v>
      </c>
      <c r="C76" s="2"/>
      <c r="E76">
        <v>17975.900000000001</v>
      </c>
      <c r="G76" s="2">
        <v>17505.900000000001</v>
      </c>
      <c r="H76" s="12">
        <v>18699.748</v>
      </c>
      <c r="I76" s="12">
        <v>18776.099110468444</v>
      </c>
      <c r="M76" s="13">
        <f t="shared" si="11"/>
        <v>18799.316463842581</v>
      </c>
      <c r="O76" s="13">
        <f t="shared" si="15"/>
        <v>18307.787319932901</v>
      </c>
      <c r="R76" t="e">
        <f t="shared" si="13"/>
        <v>#DIV/0!</v>
      </c>
      <c r="S76">
        <f t="shared" si="14"/>
        <v>1.0725583437851491</v>
      </c>
    </row>
    <row r="77" spans="1:19" x14ac:dyDescent="0.25">
      <c r="A77" s="10">
        <v>43374</v>
      </c>
      <c r="C77" s="2"/>
      <c r="E77">
        <v>18075.099999999999</v>
      </c>
      <c r="G77" s="2">
        <v>17580.400000000001</v>
      </c>
      <c r="H77" s="12">
        <v>18733.741000000002</v>
      </c>
      <c r="I77" s="12">
        <v>18865.372897453119</v>
      </c>
      <c r="M77" s="13">
        <f t="shared" si="11"/>
        <v>18903.060487408198</v>
      </c>
      <c r="O77" s="13">
        <f t="shared" si="15"/>
        <v>18385.699918276034</v>
      </c>
      <c r="R77" t="e">
        <f t="shared" si="13"/>
        <v>#DIV/0!</v>
      </c>
      <c r="S77">
        <f t="shared" si="14"/>
        <v>1.0730912207602283</v>
      </c>
    </row>
    <row r="78" spans="1:19" x14ac:dyDescent="0.25">
      <c r="A78" s="10">
        <v>43466</v>
      </c>
      <c r="C78" s="2"/>
      <c r="E78">
        <v>18174.5</v>
      </c>
      <c r="G78" s="2">
        <v>17656.5</v>
      </c>
      <c r="H78" s="12">
        <v>18835.411</v>
      </c>
      <c r="I78" s="12">
        <v>18954.764599505463</v>
      </c>
      <c r="M78" s="13">
        <f t="shared" si="11"/>
        <v>19007.013672311648</v>
      </c>
      <c r="O78" s="13">
        <f t="shared" si="15"/>
        <v>18465.28580732183</v>
      </c>
      <c r="R78" t="e">
        <f t="shared" si="13"/>
        <v>#DIV/0!</v>
      </c>
      <c r="S78">
        <f t="shared" si="14"/>
        <v>1.0735289892960362</v>
      </c>
    </row>
    <row r="79" spans="1:19" x14ac:dyDescent="0.25">
      <c r="A79" s="10">
        <v>43556</v>
      </c>
      <c r="C79" s="2"/>
      <c r="E79">
        <v>18275</v>
      </c>
      <c r="G79" s="2">
        <v>17734.2</v>
      </c>
      <c r="H79" s="12">
        <v>18962.174999999999</v>
      </c>
      <c r="I79" s="12">
        <v>19044.881460273402</v>
      </c>
      <c r="M79" s="13">
        <f t="shared" si="11"/>
        <v>19112.117244573186</v>
      </c>
      <c r="O79" s="13">
        <f t="shared" si="15"/>
        <v>18546.544987070305</v>
      </c>
    </row>
    <row r="80" spans="1:19" x14ac:dyDescent="0.25">
      <c r="A80" s="10">
        <v>43647</v>
      </c>
      <c r="E80">
        <v>18376.099999999999</v>
      </c>
      <c r="F80" s="3"/>
      <c r="G80" s="3"/>
      <c r="H80" s="12">
        <v>19130.932000000001</v>
      </c>
      <c r="I80" s="12">
        <v>19135.419343657588</v>
      </c>
      <c r="M80" s="13">
        <f t="shared" si="11"/>
        <v>19217.848300848225</v>
      </c>
    </row>
    <row r="81" spans="1:13" x14ac:dyDescent="0.25">
      <c r="A81" s="10">
        <v>43739</v>
      </c>
      <c r="E81">
        <v>18477.900000000001</v>
      </c>
      <c r="F81" s="3"/>
      <c r="G81" s="3"/>
      <c r="H81" s="12">
        <v>19215.690999999999</v>
      </c>
      <c r="I81" s="12">
        <v>19225.599085747494</v>
      </c>
      <c r="M81" s="13">
        <f t="shared" si="11"/>
        <v>19324.311421805687</v>
      </c>
    </row>
    <row r="82" spans="1:13" x14ac:dyDescent="0.25">
      <c r="A82" s="10">
        <v>43831</v>
      </c>
      <c r="E82">
        <v>18580.400000000001</v>
      </c>
      <c r="F82" s="3"/>
      <c r="G82" s="3"/>
      <c r="H82" s="12">
        <v>18989.877</v>
      </c>
      <c r="I82" s="12">
        <v>19314.330228562518</v>
      </c>
      <c r="M82" s="13">
        <f t="shared" si="11"/>
        <v>19431.506607445564</v>
      </c>
    </row>
    <row r="83" spans="1:13" x14ac:dyDescent="0.25">
      <c r="A83" s="10">
        <v>43922</v>
      </c>
      <c r="E83">
        <v>18683.400000000001</v>
      </c>
      <c r="F83" s="3"/>
      <c r="G83" s="3"/>
      <c r="H83" s="12">
        <v>17378.712</v>
      </c>
      <c r="I83" s="12">
        <v>19399.659424294787</v>
      </c>
      <c r="M83" s="13">
        <f t="shared" si="11"/>
        <v>19539.224696430025</v>
      </c>
    </row>
    <row r="84" spans="1:13" x14ac:dyDescent="0.25">
      <c r="A84" s="10">
        <v>44013</v>
      </c>
      <c r="E84">
        <v>18786.599999999999</v>
      </c>
      <c r="F84" s="3"/>
      <c r="G84" s="3"/>
      <c r="H84" s="12">
        <v>18743.72</v>
      </c>
      <c r="I84" s="12">
        <v>19477.214282920206</v>
      </c>
      <c r="M84" s="13">
        <f t="shared" si="11"/>
        <v>19647.151946752318</v>
      </c>
    </row>
    <row r="85" spans="1:13" x14ac:dyDescent="0.25">
      <c r="A85" s="10">
        <v>44105</v>
      </c>
      <c r="E85">
        <v>18890.099999999999</v>
      </c>
      <c r="F85" s="3"/>
      <c r="G85" s="3"/>
      <c r="H85" s="12">
        <v>18924.261999999999</v>
      </c>
      <c r="I85" s="12">
        <v>19559.271259869762</v>
      </c>
      <c r="M85" s="13">
        <f t="shared" si="11"/>
        <v>19755.392939081365</v>
      </c>
    </row>
    <row r="86" spans="1:13" x14ac:dyDescent="0.25">
      <c r="A86" s="10">
        <v>44197</v>
      </c>
      <c r="E86">
        <v>18993.400000000001</v>
      </c>
      <c r="F86" s="3"/>
      <c r="G86" s="3"/>
      <c r="H86" s="12">
        <v>19216.223999999998</v>
      </c>
      <c r="I86" s="12">
        <v>19644.490000000002</v>
      </c>
      <c r="M86" s="13">
        <f t="shared" si="11"/>
        <v>19863.424770072579</v>
      </c>
    </row>
    <row r="87" spans="1:13" x14ac:dyDescent="0.25">
      <c r="A87" s="10">
        <v>44287</v>
      </c>
      <c r="E87">
        <v>19096.599999999999</v>
      </c>
      <c r="F87" s="3"/>
      <c r="G87" s="3"/>
      <c r="H87" s="12">
        <v>19544.248</v>
      </c>
      <c r="I87" s="12">
        <v>19732.990000000002</v>
      </c>
      <c r="M87" s="13">
        <f t="shared" si="11"/>
        <v>19971.352020394872</v>
      </c>
    </row>
    <row r="88" spans="1:13" x14ac:dyDescent="0.25">
      <c r="A88" s="10">
        <v>44378</v>
      </c>
      <c r="E88">
        <v>19199.900000000001</v>
      </c>
      <c r="F88" s="3"/>
      <c r="G88" s="3"/>
      <c r="H88" s="12">
        <v>19672.594000000001</v>
      </c>
      <c r="I88" s="12">
        <v>19822.82</v>
      </c>
      <c r="M88" s="13">
        <f t="shared" si="11"/>
        <v>20079.38385138609</v>
      </c>
    </row>
    <row r="89" spans="1:13" x14ac:dyDescent="0.25">
      <c r="A89" s="10">
        <v>44470</v>
      </c>
      <c r="E89">
        <v>19303.2</v>
      </c>
      <c r="F89" s="3"/>
      <c r="G89" s="3"/>
      <c r="H89" s="12">
        <v>20006.181</v>
      </c>
      <c r="I89" s="12">
        <v>19914.29</v>
      </c>
      <c r="M89" s="13">
        <f t="shared" si="11"/>
        <v>20187.415682377301</v>
      </c>
    </row>
    <row r="90" spans="1:13" x14ac:dyDescent="0.25">
      <c r="A90" s="10">
        <v>44562</v>
      </c>
      <c r="E90">
        <v>19406.400000000001</v>
      </c>
      <c r="F90" s="3"/>
      <c r="G90" s="3"/>
      <c r="H90" s="12">
        <v>19924.088</v>
      </c>
      <c r="I90" s="12">
        <v>20005.45</v>
      </c>
      <c r="M90" s="13">
        <f t="shared" si="11"/>
        <v>20295.342932699597</v>
      </c>
    </row>
    <row r="91" spans="1:13" x14ac:dyDescent="0.25">
      <c r="A91" s="10">
        <v>44652</v>
      </c>
      <c r="E91">
        <v>19509.599999999999</v>
      </c>
      <c r="F91" s="3"/>
      <c r="G91" s="3"/>
      <c r="H91" s="12">
        <v>19895.271000000001</v>
      </c>
      <c r="I91" s="12">
        <v>20101.18</v>
      </c>
      <c r="M91" s="13">
        <f t="shared" si="11"/>
        <v>20403.27018302189</v>
      </c>
    </row>
    <row r="92" spans="1:13" x14ac:dyDescent="0.25">
      <c r="A92" s="10">
        <v>44743</v>
      </c>
      <c r="E92">
        <v>19612.900000000001</v>
      </c>
      <c r="F92" s="3"/>
      <c r="G92" s="3"/>
      <c r="H92" s="12">
        <v>20021.721000000001</v>
      </c>
      <c r="I92" s="12">
        <v>20197.939999999999</v>
      </c>
      <c r="M92" s="13">
        <f t="shared" si="11"/>
        <v>20511.302014013105</v>
      </c>
    </row>
    <row r="93" spans="1:13" x14ac:dyDescent="0.25">
      <c r="A93" s="10">
        <v>44835</v>
      </c>
      <c r="E93">
        <v>19716.2</v>
      </c>
      <c r="F93" s="3"/>
      <c r="G93" s="3"/>
      <c r="H93" s="12"/>
      <c r="I93" s="12">
        <v>20295.47</v>
      </c>
      <c r="M93" s="13">
        <f t="shared" si="11"/>
        <v>20619.333845004316</v>
      </c>
    </row>
    <row r="94" spans="1:13" x14ac:dyDescent="0.25">
      <c r="A94" s="10">
        <v>44927</v>
      </c>
      <c r="E94">
        <v>19819.599999999999</v>
      </c>
      <c r="F94" s="3"/>
      <c r="G94" s="3"/>
      <c r="H94" s="12"/>
      <c r="I94" s="12">
        <v>20393.62</v>
      </c>
      <c r="M94" s="13">
        <f t="shared" si="11"/>
        <v>20727.470256664445</v>
      </c>
    </row>
    <row r="95" spans="1:13" x14ac:dyDescent="0.25">
      <c r="A95" s="10">
        <v>45017</v>
      </c>
      <c r="E95">
        <v>19922.8</v>
      </c>
      <c r="F95" s="3"/>
      <c r="G95" s="3"/>
      <c r="H95" s="12"/>
      <c r="I95" s="12">
        <v>20492.060000000001</v>
      </c>
      <c r="M95" s="13">
        <f t="shared" si="11"/>
        <v>20835.397506986741</v>
      </c>
    </row>
    <row r="96" spans="1:13" x14ac:dyDescent="0.25">
      <c r="A96" s="10">
        <v>45108</v>
      </c>
      <c r="E96">
        <v>20026.2</v>
      </c>
      <c r="F96" s="3"/>
      <c r="G96" s="3"/>
      <c r="H96" s="12"/>
      <c r="I96" s="12">
        <v>20591.2</v>
      </c>
      <c r="M96" s="13">
        <f t="shared" si="11"/>
        <v>20943.53391864687</v>
      </c>
    </row>
    <row r="97" spans="1:13" x14ac:dyDescent="0.25">
      <c r="A97" s="10">
        <v>45200</v>
      </c>
      <c r="E97">
        <v>20129.8</v>
      </c>
      <c r="F97" s="3"/>
      <c r="G97" s="3"/>
      <c r="H97" s="12"/>
      <c r="I97" s="12">
        <v>20690.79</v>
      </c>
      <c r="M97" s="13">
        <f t="shared" si="11"/>
        <v>21051.879491644835</v>
      </c>
    </row>
    <row r="98" spans="1:13" x14ac:dyDescent="0.25">
      <c r="A98" s="10">
        <v>45292</v>
      </c>
      <c r="E98">
        <v>20233.7</v>
      </c>
      <c r="F98" s="3"/>
      <c r="G98" s="3"/>
      <c r="H98" s="12"/>
      <c r="I98" s="12">
        <v>20790.79</v>
      </c>
      <c r="M98" s="13">
        <f t="shared" si="11"/>
        <v>21160.538806649551</v>
      </c>
    </row>
    <row r="99" spans="1:13" x14ac:dyDescent="0.25">
      <c r="A99" s="10">
        <v>45383</v>
      </c>
      <c r="E99">
        <v>20338.5</v>
      </c>
      <c r="F99" s="3"/>
      <c r="G99" s="3"/>
      <c r="H99" s="12"/>
      <c r="I99" s="12">
        <v>20890.48</v>
      </c>
      <c r="M99" s="13">
        <f t="shared" si="11"/>
        <v>21270.139347674514</v>
      </c>
    </row>
    <row r="100" spans="1:13" x14ac:dyDescent="0.25">
      <c r="A100" s="10">
        <v>45474</v>
      </c>
      <c r="E100">
        <v>20443.7</v>
      </c>
      <c r="F100" s="3"/>
      <c r="G100" s="3"/>
      <c r="H100" s="12"/>
      <c r="I100" s="12">
        <v>20989.97</v>
      </c>
      <c r="M100" s="13">
        <f t="shared" si="11"/>
        <v>21380.15821137515</v>
      </c>
    </row>
    <row r="101" spans="1:13" x14ac:dyDescent="0.25">
      <c r="A101" s="10">
        <v>45566</v>
      </c>
      <c r="E101">
        <v>20549.099999999999</v>
      </c>
      <c r="F101" s="3"/>
      <c r="G101" s="3"/>
      <c r="H101" s="12"/>
      <c r="I101" s="12">
        <v>21089.27</v>
      </c>
      <c r="M101" s="13">
        <f t="shared" si="11"/>
        <v>21490.386236413618</v>
      </c>
    </row>
    <row r="102" spans="1:13" x14ac:dyDescent="0.25">
      <c r="A102" s="10">
        <v>45658</v>
      </c>
      <c r="E102">
        <v>20654.900000000001</v>
      </c>
      <c r="F102" s="3"/>
      <c r="G102" s="3"/>
      <c r="H102" s="12"/>
      <c r="I102" s="12">
        <v>21188.34</v>
      </c>
      <c r="M102" s="13">
        <f t="shared" si="11"/>
        <v>21601.032584127755</v>
      </c>
    </row>
    <row r="103" spans="1:13" x14ac:dyDescent="0.25">
      <c r="A103" s="10">
        <v>45748</v>
      </c>
      <c r="E103">
        <v>20759.900000000001</v>
      </c>
      <c r="F103" s="3"/>
      <c r="G103" s="3"/>
      <c r="H103" s="12"/>
      <c r="I103" s="12">
        <v>21287.1</v>
      </c>
      <c r="M103" s="13">
        <f t="shared" si="11"/>
        <v>21710.842286490559</v>
      </c>
    </row>
    <row r="104" spans="1:13" x14ac:dyDescent="0.25">
      <c r="A104" s="10">
        <v>45839</v>
      </c>
      <c r="E104">
        <v>20865</v>
      </c>
      <c r="F104" s="3"/>
      <c r="G104" s="3"/>
      <c r="H104" s="12"/>
      <c r="I104" s="12">
        <v>21385.9</v>
      </c>
      <c r="M104" s="13">
        <f t="shared" si="11"/>
        <v>21820.756569522273</v>
      </c>
    </row>
    <row r="105" spans="1:13" x14ac:dyDescent="0.25">
      <c r="A105" s="10">
        <v>45931</v>
      </c>
      <c r="E105">
        <v>20970.2</v>
      </c>
      <c r="F105" s="10"/>
      <c r="H105" s="12"/>
      <c r="I105" s="12">
        <v>21484.639999999999</v>
      </c>
      <c r="M105" s="13">
        <f t="shared" si="11"/>
        <v>21930.775433222909</v>
      </c>
    </row>
    <row r="106" spans="1:13" x14ac:dyDescent="0.25">
      <c r="A106" s="10">
        <v>46023</v>
      </c>
      <c r="F106" s="10"/>
      <c r="H106" s="12"/>
      <c r="I106" s="12">
        <v>21583.279999999999</v>
      </c>
    </row>
    <row r="107" spans="1:13" x14ac:dyDescent="0.25">
      <c r="A107" s="10">
        <v>46113</v>
      </c>
      <c r="F107" s="10"/>
      <c r="H107" s="12"/>
      <c r="I107" s="12">
        <v>21681.52</v>
      </c>
    </row>
    <row r="108" spans="1:13" x14ac:dyDescent="0.25">
      <c r="A108" s="10">
        <v>46204</v>
      </c>
      <c r="F108" s="10"/>
      <c r="H108" s="12"/>
      <c r="I108" s="12">
        <v>21779.48</v>
      </c>
    </row>
    <row r="109" spans="1:13" x14ac:dyDescent="0.25">
      <c r="A109" s="10">
        <v>46296</v>
      </c>
      <c r="F109" s="10"/>
      <c r="H109" s="12"/>
      <c r="I109" s="12">
        <v>21877.360000000001</v>
      </c>
    </row>
    <row r="110" spans="1:13" x14ac:dyDescent="0.25">
      <c r="A110" s="10">
        <v>46388</v>
      </c>
      <c r="F110" s="10"/>
      <c r="H110" s="12"/>
      <c r="I110" s="12">
        <v>21975.23</v>
      </c>
    </row>
    <row r="111" spans="1:13" x14ac:dyDescent="0.25">
      <c r="A111" s="10">
        <v>46478</v>
      </c>
      <c r="F111" s="10"/>
      <c r="H111" s="12"/>
      <c r="I111" s="12">
        <v>22072.85</v>
      </c>
    </row>
    <row r="112" spans="1:13" x14ac:dyDescent="0.25">
      <c r="A112" s="10">
        <v>46569</v>
      </c>
      <c r="F112" s="10"/>
      <c r="H112" s="12"/>
      <c r="I112" s="12">
        <v>22170.42</v>
      </c>
    </row>
    <row r="113" spans="1:9" x14ac:dyDescent="0.25">
      <c r="A113" s="10">
        <v>46661</v>
      </c>
      <c r="F113" s="10"/>
      <c r="H113" s="12"/>
      <c r="I113" s="12">
        <v>22268.1</v>
      </c>
    </row>
    <row r="114" spans="1:9" x14ac:dyDescent="0.25">
      <c r="A114" s="10">
        <v>46753</v>
      </c>
      <c r="F114" s="10"/>
      <c r="H114" s="12"/>
      <c r="I114" s="12">
        <v>22365.98</v>
      </c>
    </row>
    <row r="115" spans="1:9" x14ac:dyDescent="0.25">
      <c r="A115" s="10">
        <v>46844</v>
      </c>
      <c r="F115" s="10"/>
      <c r="H115" s="12"/>
      <c r="I115" s="12">
        <v>22464.41</v>
      </c>
    </row>
    <row r="116" spans="1:9" x14ac:dyDescent="0.25">
      <c r="A116" s="10">
        <v>46935</v>
      </c>
      <c r="F116" s="10"/>
      <c r="H116" s="12"/>
      <c r="I116" s="12">
        <v>22563.27</v>
      </c>
    </row>
    <row r="117" spans="1:9" x14ac:dyDescent="0.25">
      <c r="A117" s="10">
        <v>47027</v>
      </c>
      <c r="F117" s="10"/>
      <c r="H117" s="12"/>
      <c r="I117" s="12">
        <v>22662.71</v>
      </c>
    </row>
    <row r="118" spans="1:9" x14ac:dyDescent="0.25">
      <c r="A118" s="10">
        <v>47119</v>
      </c>
      <c r="F118" s="10"/>
      <c r="H118" s="12"/>
      <c r="I118" s="12">
        <v>22762.78</v>
      </c>
    </row>
    <row r="119" spans="1:9" x14ac:dyDescent="0.25">
      <c r="A119" s="10">
        <v>47209</v>
      </c>
      <c r="F119" s="10"/>
      <c r="H119" s="12"/>
      <c r="I119" s="12">
        <v>22863.51</v>
      </c>
    </row>
    <row r="120" spans="1:9" x14ac:dyDescent="0.25">
      <c r="A120" s="10">
        <v>47300</v>
      </c>
      <c r="F120" s="10"/>
      <c r="H120" s="12"/>
      <c r="I120" s="12">
        <v>22964.27</v>
      </c>
    </row>
    <row r="121" spans="1:9" x14ac:dyDescent="0.25">
      <c r="A121" s="10">
        <v>47392</v>
      </c>
      <c r="F121" s="10"/>
      <c r="H121" s="12"/>
      <c r="I121" s="12">
        <v>23065.07</v>
      </c>
    </row>
    <row r="122" spans="1:9" x14ac:dyDescent="0.25">
      <c r="A122" s="10">
        <v>47484</v>
      </c>
      <c r="F122" s="10"/>
      <c r="H122" s="12"/>
      <c r="I122" s="12">
        <v>23165.98</v>
      </c>
    </row>
    <row r="123" spans="1:9" x14ac:dyDescent="0.25">
      <c r="A123" s="10">
        <v>47574</v>
      </c>
      <c r="F123" s="10"/>
      <c r="H123" s="12"/>
      <c r="I123" s="12">
        <v>23267.08</v>
      </c>
    </row>
    <row r="124" spans="1:9" x14ac:dyDescent="0.25">
      <c r="A124" s="10">
        <v>47665</v>
      </c>
      <c r="F124" s="10"/>
      <c r="H124" s="12"/>
      <c r="I124" s="12">
        <v>23368.31</v>
      </c>
    </row>
    <row r="125" spans="1:9" x14ac:dyDescent="0.25">
      <c r="A125" s="10">
        <v>47757</v>
      </c>
      <c r="F125" s="10"/>
      <c r="H125" s="12"/>
      <c r="I125" s="12">
        <v>23469.66</v>
      </c>
    </row>
    <row r="126" spans="1:9" x14ac:dyDescent="0.25">
      <c r="A126" s="10">
        <v>47849</v>
      </c>
      <c r="F126" s="10"/>
      <c r="H126" s="12"/>
      <c r="I126" s="12">
        <v>23571.200000000001</v>
      </c>
    </row>
    <row r="127" spans="1:9" x14ac:dyDescent="0.25">
      <c r="A127" s="10">
        <v>47939</v>
      </c>
      <c r="F127" s="10"/>
      <c r="H127" s="12"/>
      <c r="I127" s="12">
        <v>23672.91</v>
      </c>
    </row>
    <row r="128" spans="1:9" x14ac:dyDescent="0.25">
      <c r="A128" s="10">
        <v>48030</v>
      </c>
      <c r="F128" s="10"/>
      <c r="H128" s="12"/>
      <c r="I128" s="12">
        <v>23774.75</v>
      </c>
    </row>
    <row r="129" spans="1:9" x14ac:dyDescent="0.25">
      <c r="A129" s="10">
        <v>48122</v>
      </c>
      <c r="F129" s="10"/>
      <c r="H129" s="12"/>
      <c r="I129" s="12">
        <v>23876.74</v>
      </c>
    </row>
    <row r="130" spans="1:9" x14ac:dyDescent="0.25">
      <c r="A130" s="10">
        <v>48214</v>
      </c>
      <c r="F130" s="10"/>
      <c r="H130" s="12"/>
      <c r="I130" s="12">
        <v>23978.93</v>
      </c>
    </row>
    <row r="131" spans="1:9" x14ac:dyDescent="0.25">
      <c r="A131" s="10">
        <v>48305</v>
      </c>
      <c r="F131" s="10"/>
      <c r="H131" s="12"/>
      <c r="I131" s="12">
        <v>24081.32</v>
      </c>
    </row>
    <row r="132" spans="1:9" x14ac:dyDescent="0.25">
      <c r="A132" s="10">
        <v>48396</v>
      </c>
      <c r="F132" s="10"/>
      <c r="H132" s="12"/>
      <c r="I132" s="12">
        <v>24183.71</v>
      </c>
    </row>
    <row r="133" spans="1:9" x14ac:dyDescent="0.25">
      <c r="A133" s="10">
        <v>48488</v>
      </c>
      <c r="F133" s="10"/>
      <c r="H133" s="12"/>
      <c r="I133" s="12">
        <v>24286.07</v>
      </c>
    </row>
    <row r="134" spans="1:9" x14ac:dyDescent="0.25">
      <c r="A134" s="10">
        <v>48580</v>
      </c>
      <c r="F134" s="10"/>
    </row>
    <row r="135" spans="1:9" x14ac:dyDescent="0.25">
      <c r="A135" s="10">
        <v>48670</v>
      </c>
    </row>
    <row r="136" spans="1:9" x14ac:dyDescent="0.25">
      <c r="A136" s="10">
        <v>48761</v>
      </c>
    </row>
    <row r="137" spans="1:9" x14ac:dyDescent="0.25">
      <c r="A137" s="10">
        <v>48853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4"/>
  <sheetViews>
    <sheetView topLeftCell="A52" workbookViewId="0">
      <selection activeCell="E85" sqref="E85"/>
    </sheetView>
  </sheetViews>
  <sheetFormatPr defaultRowHeight="13.2" x14ac:dyDescent="0.25"/>
  <cols>
    <col min="1" max="256" width="20.66406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8" spans="1:4" x14ac:dyDescent="0.25">
      <c r="A8" t="s">
        <v>10</v>
      </c>
      <c r="B8" t="s">
        <v>13</v>
      </c>
    </row>
    <row r="9" spans="1:4" x14ac:dyDescent="0.25">
      <c r="A9" t="s">
        <v>11</v>
      </c>
      <c r="B9" t="s">
        <v>14</v>
      </c>
    </row>
    <row r="11" spans="1:4" x14ac:dyDescent="0.25">
      <c r="A11" t="s">
        <v>6</v>
      </c>
    </row>
    <row r="12" spans="1:4" x14ac:dyDescent="0.25">
      <c r="A12" t="s">
        <v>7</v>
      </c>
      <c r="B12" t="s">
        <v>10</v>
      </c>
      <c r="C12" t="s">
        <v>11</v>
      </c>
      <c r="D12" t="s">
        <v>8</v>
      </c>
    </row>
    <row r="13" spans="1:4" x14ac:dyDescent="0.25">
      <c r="A13" s="1">
        <v>17168</v>
      </c>
      <c r="B13" s="2">
        <v>1934.5</v>
      </c>
    </row>
    <row r="14" spans="1:4" x14ac:dyDescent="0.25">
      <c r="A14" s="1">
        <v>17258</v>
      </c>
      <c r="B14" s="2">
        <v>1932.3</v>
      </c>
    </row>
    <row r="15" spans="1:4" x14ac:dyDescent="0.25">
      <c r="A15" s="1">
        <v>17349</v>
      </c>
      <c r="B15" s="2">
        <v>1930.3</v>
      </c>
    </row>
    <row r="16" spans="1:4" x14ac:dyDescent="0.25">
      <c r="A16" s="1">
        <v>17441</v>
      </c>
      <c r="B16" s="2">
        <v>1960.7</v>
      </c>
    </row>
    <row r="17" spans="1:4" x14ac:dyDescent="0.25">
      <c r="A17" s="1">
        <v>17533</v>
      </c>
      <c r="B17" s="2">
        <v>1989.5</v>
      </c>
    </row>
    <row r="18" spans="1:4" x14ac:dyDescent="0.25">
      <c r="A18" s="1">
        <v>17624</v>
      </c>
      <c r="B18" s="2">
        <v>2021.9</v>
      </c>
    </row>
    <row r="19" spans="1:4" x14ac:dyDescent="0.25">
      <c r="A19" s="1">
        <v>17715</v>
      </c>
      <c r="B19" s="2">
        <v>2033.2</v>
      </c>
    </row>
    <row r="20" spans="1:4" x14ac:dyDescent="0.25">
      <c r="A20" s="1">
        <v>17807</v>
      </c>
      <c r="B20" s="2">
        <v>2035.3</v>
      </c>
    </row>
    <row r="21" spans="1:4" x14ac:dyDescent="0.25">
      <c r="A21" s="1">
        <v>17899</v>
      </c>
      <c r="B21" s="2">
        <v>2007.5</v>
      </c>
      <c r="C21" s="2">
        <v>2027.9</v>
      </c>
      <c r="D21">
        <f>(B21-C21)/C21*100</f>
        <v>-1.005966763647127</v>
      </c>
    </row>
    <row r="22" spans="1:4" x14ac:dyDescent="0.25">
      <c r="A22" s="1">
        <v>17989</v>
      </c>
      <c r="B22" s="2">
        <v>2000.8</v>
      </c>
      <c r="C22" s="2">
        <v>2049.5</v>
      </c>
      <c r="D22">
        <f t="shared" ref="D22:D85" si="0">(B22-C22)/C22*100</f>
        <v>-2.3761893144669455</v>
      </c>
    </row>
    <row r="23" spans="1:4" x14ac:dyDescent="0.25">
      <c r="A23" s="1">
        <v>18080</v>
      </c>
      <c r="B23" s="2">
        <v>2022.8</v>
      </c>
      <c r="C23" s="2">
        <v>2071.4</v>
      </c>
      <c r="D23">
        <f t="shared" si="0"/>
        <v>-2.3462392584725369</v>
      </c>
    </row>
    <row r="24" spans="1:4" x14ac:dyDescent="0.25">
      <c r="A24" s="1">
        <v>18172</v>
      </c>
      <c r="B24" s="2">
        <v>2004.7</v>
      </c>
      <c r="C24" s="2">
        <v>2093.8000000000002</v>
      </c>
      <c r="D24">
        <f t="shared" si="0"/>
        <v>-4.2554207660712642</v>
      </c>
    </row>
    <row r="25" spans="1:4" x14ac:dyDescent="0.25">
      <c r="A25" s="1">
        <v>18264</v>
      </c>
      <c r="B25" s="2">
        <v>2084.6</v>
      </c>
      <c r="C25" s="2">
        <v>2116.8000000000002</v>
      </c>
      <c r="D25">
        <f t="shared" si="0"/>
        <v>-1.5211640211640338</v>
      </c>
    </row>
    <row r="26" spans="1:4" x14ac:dyDescent="0.25">
      <c r="A26" s="1">
        <v>18354</v>
      </c>
      <c r="B26" s="2">
        <v>2147.6</v>
      </c>
      <c r="C26" s="2">
        <v>2140.8000000000002</v>
      </c>
      <c r="D26">
        <f t="shared" si="0"/>
        <v>0.31763826606874657</v>
      </c>
    </row>
    <row r="27" spans="1:4" x14ac:dyDescent="0.25">
      <c r="A27" s="1">
        <v>18445</v>
      </c>
      <c r="B27" s="2">
        <v>2230.4</v>
      </c>
      <c r="C27" s="2">
        <v>2165.6</v>
      </c>
      <c r="D27">
        <f t="shared" si="0"/>
        <v>2.9922423346878548</v>
      </c>
    </row>
    <row r="28" spans="1:4" x14ac:dyDescent="0.25">
      <c r="A28" s="1">
        <v>18537</v>
      </c>
      <c r="B28" s="2">
        <v>2273.4</v>
      </c>
      <c r="C28" s="2">
        <v>2191.1</v>
      </c>
      <c r="D28">
        <f t="shared" si="0"/>
        <v>3.7561042398795208</v>
      </c>
    </row>
    <row r="29" spans="1:4" x14ac:dyDescent="0.25">
      <c r="A29" s="1">
        <v>18629</v>
      </c>
      <c r="B29" s="2">
        <v>2304.5</v>
      </c>
      <c r="C29" s="2">
        <v>2217.8000000000002</v>
      </c>
      <c r="D29">
        <f t="shared" si="0"/>
        <v>3.9092794661376051</v>
      </c>
    </row>
    <row r="30" spans="1:4" x14ac:dyDescent="0.25">
      <c r="A30" s="1">
        <v>18719</v>
      </c>
      <c r="B30" s="2">
        <v>2344.5</v>
      </c>
      <c r="C30" s="2">
        <v>2245.5</v>
      </c>
      <c r="D30">
        <f t="shared" si="0"/>
        <v>4.408817635270541</v>
      </c>
    </row>
    <row r="31" spans="1:4" x14ac:dyDescent="0.25">
      <c r="A31" s="1">
        <v>18810</v>
      </c>
      <c r="B31" s="2">
        <v>2392.8000000000002</v>
      </c>
      <c r="C31" s="2">
        <v>2273.6</v>
      </c>
      <c r="D31">
        <f t="shared" si="0"/>
        <v>5.2427867698803778</v>
      </c>
    </row>
    <row r="32" spans="1:4" x14ac:dyDescent="0.25">
      <c r="A32" s="1">
        <v>18902</v>
      </c>
      <c r="B32" s="2">
        <v>2398.1</v>
      </c>
      <c r="C32" s="2">
        <v>2301.8000000000002</v>
      </c>
      <c r="D32">
        <f t="shared" si="0"/>
        <v>4.1836823355634598</v>
      </c>
    </row>
    <row r="33" spans="1:4" x14ac:dyDescent="0.25">
      <c r="A33" s="1">
        <v>18994</v>
      </c>
      <c r="B33" s="2">
        <v>2423.5</v>
      </c>
      <c r="C33" s="2">
        <v>2329.6999999999998</v>
      </c>
      <c r="D33">
        <f t="shared" si="0"/>
        <v>4.0262694767566725</v>
      </c>
    </row>
    <row r="34" spans="1:4" x14ac:dyDescent="0.25">
      <c r="A34" s="1">
        <v>19085</v>
      </c>
      <c r="B34" s="2">
        <v>2428.5</v>
      </c>
      <c r="C34" s="2">
        <v>2357.5</v>
      </c>
      <c r="D34">
        <f t="shared" si="0"/>
        <v>3.011664899257688</v>
      </c>
    </row>
    <row r="35" spans="1:4" x14ac:dyDescent="0.25">
      <c r="A35" s="1">
        <v>19176</v>
      </c>
      <c r="B35" s="2">
        <v>2446.1</v>
      </c>
      <c r="C35" s="2">
        <v>2384.6999999999998</v>
      </c>
      <c r="D35">
        <f t="shared" si="0"/>
        <v>2.574747347674764</v>
      </c>
    </row>
    <row r="36" spans="1:4" x14ac:dyDescent="0.25">
      <c r="A36" s="1">
        <v>19268</v>
      </c>
      <c r="B36" s="2">
        <v>2526.4</v>
      </c>
      <c r="C36" s="2">
        <v>2411.3000000000002</v>
      </c>
      <c r="D36">
        <f t="shared" si="0"/>
        <v>4.7733587691286816</v>
      </c>
    </row>
    <row r="37" spans="1:4" x14ac:dyDescent="0.25">
      <c r="A37" s="1">
        <v>19360</v>
      </c>
      <c r="B37" s="2">
        <v>2573.4</v>
      </c>
      <c r="C37" s="2">
        <v>2436.6</v>
      </c>
      <c r="D37">
        <f t="shared" si="0"/>
        <v>5.6143806944102517</v>
      </c>
    </row>
    <row r="38" spans="1:4" x14ac:dyDescent="0.25">
      <c r="A38" s="1">
        <v>19450</v>
      </c>
      <c r="B38" s="2">
        <v>2593.5</v>
      </c>
      <c r="C38" s="2">
        <v>2460.6999999999998</v>
      </c>
      <c r="D38">
        <f t="shared" si="0"/>
        <v>5.3968382980452798</v>
      </c>
    </row>
    <row r="39" spans="1:4" x14ac:dyDescent="0.25">
      <c r="A39" s="1">
        <v>19541</v>
      </c>
      <c r="B39" s="2">
        <v>2578.9</v>
      </c>
      <c r="C39" s="2">
        <v>2483.9</v>
      </c>
      <c r="D39">
        <f t="shared" si="0"/>
        <v>3.824630621200531</v>
      </c>
    </row>
    <row r="40" spans="1:4" x14ac:dyDescent="0.25">
      <c r="A40" s="1">
        <v>19633</v>
      </c>
      <c r="B40" s="2">
        <v>2539.8000000000002</v>
      </c>
      <c r="C40" s="2">
        <v>2506.1999999999998</v>
      </c>
      <c r="D40">
        <f t="shared" si="0"/>
        <v>1.3406751256883076</v>
      </c>
    </row>
    <row r="41" spans="1:4" x14ac:dyDescent="0.25">
      <c r="A41" s="1">
        <v>19725</v>
      </c>
      <c r="B41" s="2">
        <v>2528</v>
      </c>
      <c r="C41" s="2">
        <v>2527.6</v>
      </c>
      <c r="D41">
        <f t="shared" si="0"/>
        <v>1.5825288811524407E-2</v>
      </c>
    </row>
    <row r="42" spans="1:4" x14ac:dyDescent="0.25">
      <c r="A42" s="1">
        <v>19815</v>
      </c>
      <c r="B42" s="2">
        <v>2530.6999999999998</v>
      </c>
      <c r="C42" s="2">
        <v>2548</v>
      </c>
      <c r="D42">
        <f t="shared" si="0"/>
        <v>-0.6789638932496147</v>
      </c>
    </row>
    <row r="43" spans="1:4" x14ac:dyDescent="0.25">
      <c r="A43" s="1">
        <v>19906</v>
      </c>
      <c r="B43" s="2">
        <v>2559.4</v>
      </c>
      <c r="C43" s="2">
        <v>2568.1</v>
      </c>
      <c r="D43">
        <f t="shared" si="0"/>
        <v>-0.33877185467854909</v>
      </c>
    </row>
    <row r="44" spans="1:4" x14ac:dyDescent="0.25">
      <c r="A44" s="1">
        <v>19998</v>
      </c>
      <c r="B44" s="2">
        <v>2609.3000000000002</v>
      </c>
      <c r="C44" s="2">
        <v>2588</v>
      </c>
      <c r="D44">
        <f t="shared" si="0"/>
        <v>0.82302936630603496</v>
      </c>
    </row>
    <row r="45" spans="1:4" x14ac:dyDescent="0.25">
      <c r="A45" s="1">
        <v>20090</v>
      </c>
      <c r="B45" s="2">
        <v>2683.8</v>
      </c>
      <c r="C45" s="2">
        <v>2608.3000000000002</v>
      </c>
      <c r="D45">
        <f t="shared" si="0"/>
        <v>2.8946056818617487</v>
      </c>
    </row>
    <row r="46" spans="1:4" x14ac:dyDescent="0.25">
      <c r="A46" s="1">
        <v>20180</v>
      </c>
      <c r="B46" s="2">
        <v>2727.5</v>
      </c>
      <c r="C46" s="2">
        <v>2629.1</v>
      </c>
      <c r="D46">
        <f t="shared" si="0"/>
        <v>3.7427256475600053</v>
      </c>
    </row>
    <row r="47" spans="1:4" x14ac:dyDescent="0.25">
      <c r="A47" s="1">
        <v>20271</v>
      </c>
      <c r="B47" s="2">
        <v>2764.1</v>
      </c>
      <c r="C47" s="2">
        <v>2650.3</v>
      </c>
      <c r="D47">
        <f t="shared" si="0"/>
        <v>4.2938535260159121</v>
      </c>
    </row>
    <row r="48" spans="1:4" x14ac:dyDescent="0.25">
      <c r="A48" s="1">
        <v>20363</v>
      </c>
      <c r="B48" s="2">
        <v>2780.8</v>
      </c>
      <c r="C48" s="2">
        <v>2671.9</v>
      </c>
      <c r="D48">
        <f t="shared" si="0"/>
        <v>4.0757513379991801</v>
      </c>
    </row>
    <row r="49" spans="1:4" x14ac:dyDescent="0.25">
      <c r="A49" s="1">
        <v>20455</v>
      </c>
      <c r="B49" s="2">
        <v>2770</v>
      </c>
      <c r="C49" s="2">
        <v>2694.5</v>
      </c>
      <c r="D49">
        <f t="shared" si="0"/>
        <v>2.8020040823900536</v>
      </c>
    </row>
    <row r="50" spans="1:4" x14ac:dyDescent="0.25">
      <c r="A50" s="1">
        <v>20546</v>
      </c>
      <c r="B50" s="2">
        <v>2792.9</v>
      </c>
      <c r="C50" s="2">
        <v>2717.3</v>
      </c>
      <c r="D50">
        <f t="shared" si="0"/>
        <v>2.7821734810289591</v>
      </c>
    </row>
    <row r="51" spans="1:4" x14ac:dyDescent="0.25">
      <c r="A51" s="1">
        <v>20637</v>
      </c>
      <c r="B51" s="2">
        <v>2790.6</v>
      </c>
      <c r="C51" s="2">
        <v>2740.6</v>
      </c>
      <c r="D51">
        <f t="shared" si="0"/>
        <v>1.8244180106546013</v>
      </c>
    </row>
    <row r="52" spans="1:4" x14ac:dyDescent="0.25">
      <c r="A52" s="1">
        <v>20729</v>
      </c>
      <c r="B52" s="2">
        <v>2836.2</v>
      </c>
      <c r="C52" s="2">
        <v>2764.3</v>
      </c>
      <c r="D52">
        <f t="shared" si="0"/>
        <v>2.6010201497666547</v>
      </c>
    </row>
    <row r="53" spans="1:4" x14ac:dyDescent="0.25">
      <c r="A53" s="1">
        <v>20821</v>
      </c>
      <c r="B53" s="2">
        <v>2854.5</v>
      </c>
      <c r="C53" s="2">
        <v>2788.3</v>
      </c>
      <c r="D53">
        <f t="shared" si="0"/>
        <v>2.374206505756189</v>
      </c>
    </row>
    <row r="54" spans="1:4" x14ac:dyDescent="0.25">
      <c r="A54" s="1">
        <v>20911</v>
      </c>
      <c r="B54" s="2">
        <v>2848.2</v>
      </c>
      <c r="C54" s="2">
        <v>2813</v>
      </c>
      <c r="D54">
        <f t="shared" si="0"/>
        <v>1.2513330963384224</v>
      </c>
    </row>
    <row r="55" spans="1:4" x14ac:dyDescent="0.25">
      <c r="A55" s="1">
        <v>21002</v>
      </c>
      <c r="B55" s="2">
        <v>2875.9</v>
      </c>
      <c r="C55" s="2">
        <v>2838.1</v>
      </c>
      <c r="D55">
        <f t="shared" si="0"/>
        <v>1.3318769599379932</v>
      </c>
    </row>
    <row r="56" spans="1:4" x14ac:dyDescent="0.25">
      <c r="A56" s="1">
        <v>21094</v>
      </c>
      <c r="B56" s="2">
        <v>2846.4</v>
      </c>
      <c r="C56" s="2">
        <v>2863.4</v>
      </c>
      <c r="D56">
        <f t="shared" si="0"/>
        <v>-0.59369979744359858</v>
      </c>
    </row>
    <row r="57" spans="1:4" x14ac:dyDescent="0.25">
      <c r="A57" s="1">
        <v>21186</v>
      </c>
      <c r="B57" s="2">
        <v>2772.7</v>
      </c>
      <c r="C57" s="2">
        <v>2889</v>
      </c>
      <c r="D57">
        <f t="shared" si="0"/>
        <v>-4.025614399446181</v>
      </c>
    </row>
    <row r="58" spans="1:4" x14ac:dyDescent="0.25">
      <c r="A58" s="1">
        <v>21276</v>
      </c>
      <c r="B58" s="2">
        <v>2790.9</v>
      </c>
      <c r="C58" s="2">
        <v>2913.9</v>
      </c>
      <c r="D58">
        <f t="shared" si="0"/>
        <v>-4.2211469165036553</v>
      </c>
    </row>
    <row r="59" spans="1:4" x14ac:dyDescent="0.25">
      <c r="A59" s="1">
        <v>21367</v>
      </c>
      <c r="B59" s="2">
        <v>2855.5</v>
      </c>
      <c r="C59" s="2">
        <v>2938.9</v>
      </c>
      <c r="D59">
        <f t="shared" si="0"/>
        <v>-2.8377964544557521</v>
      </c>
    </row>
    <row r="60" spans="1:4" x14ac:dyDescent="0.25">
      <c r="A60" s="1">
        <v>21459</v>
      </c>
      <c r="B60" s="2">
        <v>2922.3</v>
      </c>
      <c r="C60" s="2">
        <v>2964</v>
      </c>
      <c r="D60">
        <f t="shared" si="0"/>
        <v>-1.4068825910931111</v>
      </c>
    </row>
    <row r="61" spans="1:4" x14ac:dyDescent="0.25">
      <c r="A61" s="1">
        <v>21551</v>
      </c>
      <c r="B61" s="2">
        <v>2976.6</v>
      </c>
      <c r="C61" s="2">
        <v>2989</v>
      </c>
      <c r="D61">
        <f t="shared" si="0"/>
        <v>-0.41485446637671763</v>
      </c>
    </row>
    <row r="62" spans="1:4" x14ac:dyDescent="0.25">
      <c r="A62" s="1">
        <v>21641</v>
      </c>
      <c r="B62" s="2">
        <v>3049</v>
      </c>
      <c r="C62" s="2">
        <v>3014.6</v>
      </c>
      <c r="D62">
        <f t="shared" si="0"/>
        <v>1.1411132488555726</v>
      </c>
    </row>
    <row r="63" spans="1:4" x14ac:dyDescent="0.25">
      <c r="A63" s="1">
        <v>21732</v>
      </c>
      <c r="B63" s="2">
        <v>3043.1</v>
      </c>
      <c r="C63" s="2">
        <v>3040.9</v>
      </c>
      <c r="D63">
        <f t="shared" si="0"/>
        <v>7.2347002532139104E-2</v>
      </c>
    </row>
    <row r="64" spans="1:4" x14ac:dyDescent="0.25">
      <c r="A64" s="1">
        <v>21824</v>
      </c>
      <c r="B64" s="2">
        <v>3055.1</v>
      </c>
      <c r="C64" s="2">
        <v>3068.1</v>
      </c>
      <c r="D64">
        <f t="shared" si="0"/>
        <v>-0.42371500277044422</v>
      </c>
    </row>
    <row r="65" spans="1:4" x14ac:dyDescent="0.25">
      <c r="A65" s="1">
        <v>21916</v>
      </c>
      <c r="B65" s="2">
        <v>3123.2</v>
      </c>
      <c r="C65" s="2">
        <v>3096.9</v>
      </c>
      <c r="D65">
        <f t="shared" si="0"/>
        <v>0.84923633310729196</v>
      </c>
    </row>
    <row r="66" spans="1:4" x14ac:dyDescent="0.25">
      <c r="A66" s="1">
        <v>22007</v>
      </c>
      <c r="B66" s="2">
        <v>3111.3</v>
      </c>
      <c r="C66" s="2">
        <v>3127</v>
      </c>
      <c r="D66">
        <f t="shared" si="0"/>
        <v>-0.50207866965141734</v>
      </c>
    </row>
    <row r="67" spans="1:4" x14ac:dyDescent="0.25">
      <c r="A67" s="1">
        <v>22098</v>
      </c>
      <c r="B67" s="2">
        <v>3119.1</v>
      </c>
      <c r="C67" s="2">
        <v>3157.9</v>
      </c>
      <c r="D67">
        <f t="shared" si="0"/>
        <v>-1.2286646188923076</v>
      </c>
    </row>
    <row r="68" spans="1:4" x14ac:dyDescent="0.25">
      <c r="A68" s="1">
        <v>22190</v>
      </c>
      <c r="B68" s="2">
        <v>3081.3</v>
      </c>
      <c r="C68" s="2">
        <v>3189.5</v>
      </c>
      <c r="D68">
        <f t="shared" si="0"/>
        <v>-3.3923812509797715</v>
      </c>
    </row>
    <row r="69" spans="1:4" x14ac:dyDescent="0.25">
      <c r="A69" s="1">
        <v>22282</v>
      </c>
      <c r="B69" s="2">
        <v>3102.3</v>
      </c>
      <c r="C69" s="2">
        <v>3221.5</v>
      </c>
      <c r="D69">
        <f t="shared" si="0"/>
        <v>-3.7001396864814469</v>
      </c>
    </row>
    <row r="70" spans="1:4" x14ac:dyDescent="0.25">
      <c r="A70" s="1">
        <v>22372</v>
      </c>
      <c r="B70" s="2">
        <v>3159.9</v>
      </c>
      <c r="C70" s="2">
        <v>3253.9</v>
      </c>
      <c r="D70">
        <f t="shared" si="0"/>
        <v>-2.8888410830080828</v>
      </c>
    </row>
    <row r="71" spans="1:4" x14ac:dyDescent="0.25">
      <c r="A71" s="1">
        <v>22463</v>
      </c>
      <c r="B71" s="2">
        <v>3212.6</v>
      </c>
      <c r="C71" s="2">
        <v>3286.7</v>
      </c>
      <c r="D71">
        <f t="shared" si="0"/>
        <v>-2.2545410289956465</v>
      </c>
    </row>
    <row r="72" spans="1:4" x14ac:dyDescent="0.25">
      <c r="A72" s="1">
        <v>22555</v>
      </c>
      <c r="B72" s="2">
        <v>3277.7</v>
      </c>
      <c r="C72" s="2">
        <v>3319.8</v>
      </c>
      <c r="D72">
        <f t="shared" si="0"/>
        <v>-1.2681486836556528</v>
      </c>
    </row>
    <row r="73" spans="1:4" x14ac:dyDescent="0.25">
      <c r="A73" s="1">
        <v>22647</v>
      </c>
      <c r="B73" s="2">
        <v>3336.8</v>
      </c>
      <c r="C73" s="2">
        <v>3353.1</v>
      </c>
      <c r="D73">
        <f t="shared" si="0"/>
        <v>-0.48611732426708798</v>
      </c>
    </row>
    <row r="74" spans="1:4" x14ac:dyDescent="0.25">
      <c r="A74" s="1">
        <v>22737</v>
      </c>
      <c r="B74" s="2">
        <v>3372.7</v>
      </c>
      <c r="C74" s="2">
        <v>3386.8</v>
      </c>
      <c r="D74">
        <f t="shared" si="0"/>
        <v>-0.41632219203969417</v>
      </c>
    </row>
    <row r="75" spans="1:4" x14ac:dyDescent="0.25">
      <c r="A75" s="1">
        <v>22828</v>
      </c>
      <c r="B75" s="2">
        <v>3404.8</v>
      </c>
      <c r="C75" s="2">
        <v>3420.9</v>
      </c>
      <c r="D75">
        <f t="shared" si="0"/>
        <v>-0.47063638223858956</v>
      </c>
    </row>
    <row r="76" spans="1:4" x14ac:dyDescent="0.25">
      <c r="A76" s="1">
        <v>22920</v>
      </c>
      <c r="B76" s="2">
        <v>3418</v>
      </c>
      <c r="C76" s="2">
        <v>3455.4</v>
      </c>
      <c r="D76">
        <f t="shared" si="0"/>
        <v>-1.0823638363141774</v>
      </c>
    </row>
    <row r="77" spans="1:4" x14ac:dyDescent="0.25">
      <c r="A77" s="1">
        <v>23012</v>
      </c>
      <c r="B77" s="2">
        <v>3456.1</v>
      </c>
      <c r="C77" s="2">
        <v>3490.5</v>
      </c>
      <c r="D77">
        <f t="shared" si="0"/>
        <v>-0.98553215871651878</v>
      </c>
    </row>
    <row r="78" spans="1:4" x14ac:dyDescent="0.25">
      <c r="A78" s="1">
        <v>23102</v>
      </c>
      <c r="B78" s="2">
        <v>3501.1</v>
      </c>
      <c r="C78" s="2">
        <v>3525.9</v>
      </c>
      <c r="D78">
        <f t="shared" si="0"/>
        <v>-0.70336651635044045</v>
      </c>
    </row>
    <row r="79" spans="1:4" x14ac:dyDescent="0.25">
      <c r="A79" s="1">
        <v>23193</v>
      </c>
      <c r="B79" s="2">
        <v>3569.5</v>
      </c>
      <c r="C79" s="2">
        <v>3561.8</v>
      </c>
      <c r="D79">
        <f t="shared" si="0"/>
        <v>0.21618282890672741</v>
      </c>
    </row>
    <row r="80" spans="1:4" x14ac:dyDescent="0.25">
      <c r="A80" s="1">
        <v>23285</v>
      </c>
      <c r="B80" s="2">
        <v>3595</v>
      </c>
      <c r="C80" s="2">
        <v>3598.1</v>
      </c>
      <c r="D80">
        <f t="shared" si="0"/>
        <v>-8.6156582640835686E-2</v>
      </c>
    </row>
    <row r="81" spans="1:4" x14ac:dyDescent="0.25">
      <c r="A81" s="1">
        <v>23377</v>
      </c>
      <c r="B81" s="2">
        <v>3672.7</v>
      </c>
      <c r="C81" s="2">
        <v>3634.7</v>
      </c>
      <c r="D81">
        <f t="shared" si="0"/>
        <v>1.0454783063251438</v>
      </c>
    </row>
    <row r="82" spans="1:4" x14ac:dyDescent="0.25">
      <c r="A82" s="1">
        <v>23468</v>
      </c>
      <c r="B82" s="2">
        <v>3716.4</v>
      </c>
      <c r="C82" s="2">
        <v>3671.7</v>
      </c>
      <c r="D82">
        <f t="shared" si="0"/>
        <v>1.2174197238336542</v>
      </c>
    </row>
    <row r="83" spans="1:4" x14ac:dyDescent="0.25">
      <c r="A83" s="1">
        <v>23559</v>
      </c>
      <c r="B83" s="2">
        <v>3766.9</v>
      </c>
      <c r="C83" s="2">
        <v>3709.2</v>
      </c>
      <c r="D83">
        <f t="shared" si="0"/>
        <v>1.5555915022107267</v>
      </c>
    </row>
    <row r="84" spans="1:4" x14ac:dyDescent="0.25">
      <c r="A84" s="1">
        <v>23651</v>
      </c>
      <c r="B84" s="2">
        <v>3780.2</v>
      </c>
      <c r="C84" s="2">
        <v>3747.3</v>
      </c>
      <c r="D84">
        <f t="shared" si="0"/>
        <v>0.8779654684706224</v>
      </c>
    </row>
    <row r="85" spans="1:4" x14ac:dyDescent="0.25">
      <c r="A85" s="1">
        <v>23743</v>
      </c>
      <c r="B85" s="2">
        <v>3873.5</v>
      </c>
      <c r="C85" s="2">
        <v>3786.2</v>
      </c>
      <c r="D85">
        <f t="shared" si="0"/>
        <v>2.3057419048122174</v>
      </c>
    </row>
    <row r="86" spans="1:4" x14ac:dyDescent="0.25">
      <c r="A86" s="1">
        <v>23833</v>
      </c>
      <c r="B86" s="2">
        <v>3926.4</v>
      </c>
      <c r="C86" s="2">
        <v>3825.9</v>
      </c>
      <c r="D86">
        <f t="shared" ref="D86:D149" si="1">(B86-C86)/C86*100</f>
        <v>2.6268329020622598</v>
      </c>
    </row>
    <row r="87" spans="1:4" x14ac:dyDescent="0.25">
      <c r="A87" s="1">
        <v>23924</v>
      </c>
      <c r="B87" s="2">
        <v>4006.2</v>
      </c>
      <c r="C87" s="2">
        <v>3866.3</v>
      </c>
      <c r="D87">
        <f t="shared" si="1"/>
        <v>3.6184465768305523</v>
      </c>
    </row>
    <row r="88" spans="1:4" x14ac:dyDescent="0.25">
      <c r="A88" s="1">
        <v>24016</v>
      </c>
      <c r="B88" s="2">
        <v>4100.6000000000004</v>
      </c>
      <c r="C88" s="2">
        <v>3907.5</v>
      </c>
      <c r="D88">
        <f t="shared" si="1"/>
        <v>4.9417786308381411</v>
      </c>
    </row>
    <row r="89" spans="1:4" x14ac:dyDescent="0.25">
      <c r="A89" s="1">
        <v>24108</v>
      </c>
      <c r="B89" s="2">
        <v>4201.8999999999996</v>
      </c>
      <c r="C89" s="2">
        <v>3949.7</v>
      </c>
      <c r="D89">
        <f t="shared" si="1"/>
        <v>6.3852950857027064</v>
      </c>
    </row>
    <row r="90" spans="1:4" x14ac:dyDescent="0.25">
      <c r="A90" s="1">
        <v>24198</v>
      </c>
      <c r="B90" s="2">
        <v>4219.1000000000004</v>
      </c>
      <c r="C90" s="2">
        <v>3993.2</v>
      </c>
      <c r="D90">
        <f t="shared" si="1"/>
        <v>5.6571170990684303</v>
      </c>
    </row>
    <row r="91" spans="1:4" x14ac:dyDescent="0.25">
      <c r="A91" s="1">
        <v>24289</v>
      </c>
      <c r="B91" s="2">
        <v>4249.2</v>
      </c>
      <c r="C91" s="2">
        <v>4037.3</v>
      </c>
      <c r="D91">
        <f t="shared" si="1"/>
        <v>5.2485572040720196</v>
      </c>
    </row>
    <row r="92" spans="1:4" x14ac:dyDescent="0.25">
      <c r="A92" s="1">
        <v>24381</v>
      </c>
      <c r="B92" s="2">
        <v>4285.6000000000004</v>
      </c>
      <c r="C92" s="2">
        <v>4082</v>
      </c>
      <c r="D92">
        <f t="shared" si="1"/>
        <v>4.987751102400793</v>
      </c>
    </row>
    <row r="93" spans="1:4" x14ac:dyDescent="0.25">
      <c r="A93" s="1">
        <v>24473</v>
      </c>
      <c r="B93" s="2">
        <v>4324.8999999999996</v>
      </c>
      <c r="C93" s="2">
        <v>4127.1000000000004</v>
      </c>
      <c r="D93">
        <f t="shared" si="1"/>
        <v>4.7927115892515149</v>
      </c>
    </row>
    <row r="94" spans="1:4" x14ac:dyDescent="0.25">
      <c r="A94" s="1">
        <v>24563</v>
      </c>
      <c r="B94" s="2">
        <v>4328.7</v>
      </c>
      <c r="C94" s="2">
        <v>4172.3</v>
      </c>
      <c r="D94">
        <f t="shared" si="1"/>
        <v>3.7485319847566001</v>
      </c>
    </row>
    <row r="95" spans="1:4" x14ac:dyDescent="0.25">
      <c r="A95" s="1">
        <v>24654</v>
      </c>
      <c r="B95" s="2">
        <v>4366.1000000000004</v>
      </c>
      <c r="C95" s="2">
        <v>4217.7</v>
      </c>
      <c r="D95">
        <f t="shared" si="1"/>
        <v>3.5185053465158864</v>
      </c>
    </row>
    <row r="96" spans="1:4" x14ac:dyDescent="0.25">
      <c r="A96" s="1">
        <v>24746</v>
      </c>
      <c r="B96" s="2">
        <v>4401.2</v>
      </c>
      <c r="C96" s="2">
        <v>4263.1000000000004</v>
      </c>
      <c r="D96">
        <f t="shared" si="1"/>
        <v>3.2394267082639261</v>
      </c>
    </row>
    <row r="97" spans="1:4" x14ac:dyDescent="0.25">
      <c r="A97" s="1">
        <v>24838</v>
      </c>
      <c r="B97" s="2">
        <v>4490.6000000000004</v>
      </c>
      <c r="C97" s="2">
        <v>4308.1000000000004</v>
      </c>
      <c r="D97">
        <f t="shared" si="1"/>
        <v>4.2362062161973952</v>
      </c>
    </row>
    <row r="98" spans="1:4" x14ac:dyDescent="0.25">
      <c r="A98" s="1">
        <v>24929</v>
      </c>
      <c r="B98" s="2">
        <v>4566.3999999999996</v>
      </c>
      <c r="C98" s="2">
        <v>4353.3999999999996</v>
      </c>
      <c r="D98">
        <f t="shared" si="1"/>
        <v>4.8927275233151102</v>
      </c>
    </row>
    <row r="99" spans="1:4" x14ac:dyDescent="0.25">
      <c r="A99" s="1">
        <v>25020</v>
      </c>
      <c r="B99" s="2">
        <v>4599.3</v>
      </c>
      <c r="C99" s="2">
        <v>4398.8</v>
      </c>
      <c r="D99">
        <f t="shared" si="1"/>
        <v>4.5580612894425752</v>
      </c>
    </row>
    <row r="100" spans="1:4" x14ac:dyDescent="0.25">
      <c r="A100" s="1">
        <v>25112</v>
      </c>
      <c r="B100" s="2">
        <v>4619.8</v>
      </c>
      <c r="C100" s="2">
        <v>4444.1000000000004</v>
      </c>
      <c r="D100">
        <f t="shared" si="1"/>
        <v>3.9535564006210437</v>
      </c>
    </row>
    <row r="101" spans="1:4" x14ac:dyDescent="0.25">
      <c r="A101" s="1">
        <v>25204</v>
      </c>
      <c r="B101" s="2">
        <v>4691.6000000000004</v>
      </c>
      <c r="C101" s="2">
        <v>4489.3999999999996</v>
      </c>
      <c r="D101">
        <f t="shared" si="1"/>
        <v>4.5039426203947244</v>
      </c>
    </row>
    <row r="102" spans="1:4" x14ac:dyDescent="0.25">
      <c r="A102" s="1">
        <v>25294</v>
      </c>
      <c r="B102" s="2">
        <v>4706.7</v>
      </c>
      <c r="C102" s="2">
        <v>4534.5</v>
      </c>
      <c r="D102">
        <f t="shared" si="1"/>
        <v>3.7975521005623514</v>
      </c>
    </row>
    <row r="103" spans="1:4" x14ac:dyDescent="0.25">
      <c r="A103" s="1">
        <v>25385</v>
      </c>
      <c r="B103" s="2">
        <v>4736.1000000000004</v>
      </c>
      <c r="C103" s="2">
        <v>4579.2</v>
      </c>
      <c r="D103">
        <f t="shared" si="1"/>
        <v>3.4263626834381675</v>
      </c>
    </row>
    <row r="104" spans="1:4" x14ac:dyDescent="0.25">
      <c r="A104" s="1">
        <v>25477</v>
      </c>
      <c r="B104" s="2">
        <v>4715.5</v>
      </c>
      <c r="C104" s="2">
        <v>4623.3999999999996</v>
      </c>
      <c r="D104">
        <f t="shared" si="1"/>
        <v>1.9920404896829251</v>
      </c>
    </row>
    <row r="105" spans="1:4" x14ac:dyDescent="0.25">
      <c r="A105" s="1">
        <v>25569</v>
      </c>
      <c r="B105" s="2">
        <v>4707.1000000000004</v>
      </c>
      <c r="C105" s="2">
        <v>4666.6000000000004</v>
      </c>
      <c r="D105">
        <f t="shared" si="1"/>
        <v>0.86786954099344271</v>
      </c>
    </row>
    <row r="106" spans="1:4" x14ac:dyDescent="0.25">
      <c r="A106" s="1">
        <v>25659</v>
      </c>
      <c r="B106" s="2">
        <v>4715.3999999999996</v>
      </c>
      <c r="C106" s="2">
        <v>4709.1000000000004</v>
      </c>
      <c r="D106">
        <f t="shared" si="1"/>
        <v>0.13378352551441405</v>
      </c>
    </row>
    <row r="107" spans="1:4" x14ac:dyDescent="0.25">
      <c r="A107" s="1">
        <v>25750</v>
      </c>
      <c r="B107" s="2">
        <v>4757.2</v>
      </c>
      <c r="C107" s="2">
        <v>4751</v>
      </c>
      <c r="D107">
        <f t="shared" si="1"/>
        <v>0.13049884234897532</v>
      </c>
    </row>
    <row r="108" spans="1:4" x14ac:dyDescent="0.25">
      <c r="A108" s="1">
        <v>25842</v>
      </c>
      <c r="B108" s="2">
        <v>4708.3</v>
      </c>
      <c r="C108" s="2">
        <v>4792.3999999999996</v>
      </c>
      <c r="D108">
        <f t="shared" si="1"/>
        <v>-1.7548618646189686</v>
      </c>
    </row>
    <row r="109" spans="1:4" x14ac:dyDescent="0.25">
      <c r="A109" s="1">
        <v>25934</v>
      </c>
      <c r="B109" s="2">
        <v>4834.3</v>
      </c>
      <c r="C109" s="2">
        <v>4833.2</v>
      </c>
      <c r="D109">
        <f t="shared" si="1"/>
        <v>2.2759248531001489E-2</v>
      </c>
    </row>
    <row r="110" spans="1:4" x14ac:dyDescent="0.25">
      <c r="A110" s="1">
        <v>26024</v>
      </c>
      <c r="B110" s="2">
        <v>4861.8999999999996</v>
      </c>
      <c r="C110" s="2">
        <v>4873.2</v>
      </c>
      <c r="D110">
        <f t="shared" si="1"/>
        <v>-0.23188048920627477</v>
      </c>
    </row>
    <row r="111" spans="1:4" x14ac:dyDescent="0.25">
      <c r="A111" s="1">
        <v>26115</v>
      </c>
      <c r="B111" s="2">
        <v>4900</v>
      </c>
      <c r="C111" s="2">
        <v>4913</v>
      </c>
      <c r="D111">
        <f t="shared" si="1"/>
        <v>-0.26460411154081009</v>
      </c>
    </row>
    <row r="112" spans="1:4" x14ac:dyDescent="0.25">
      <c r="A112" s="1">
        <v>26207</v>
      </c>
      <c r="B112" s="2">
        <v>4914.3</v>
      </c>
      <c r="C112" s="2">
        <v>4952.8999999999996</v>
      </c>
      <c r="D112">
        <f t="shared" si="1"/>
        <v>-0.77934139594983665</v>
      </c>
    </row>
    <row r="113" spans="1:4" x14ac:dyDescent="0.25">
      <c r="A113" s="1">
        <v>26299</v>
      </c>
      <c r="B113" s="2">
        <v>5002.3999999999996</v>
      </c>
      <c r="C113" s="2">
        <v>4993.3</v>
      </c>
      <c r="D113">
        <f t="shared" si="1"/>
        <v>0.18224420723768758</v>
      </c>
    </row>
    <row r="114" spans="1:4" x14ac:dyDescent="0.25">
      <c r="A114" s="1">
        <v>26390</v>
      </c>
      <c r="B114" s="2">
        <v>5118.3</v>
      </c>
      <c r="C114" s="2">
        <v>5034.1000000000004</v>
      </c>
      <c r="D114">
        <f t="shared" si="1"/>
        <v>1.6725929163107569</v>
      </c>
    </row>
    <row r="115" spans="1:4" x14ac:dyDescent="0.25">
      <c r="A115" s="1">
        <v>26481</v>
      </c>
      <c r="B115" s="2">
        <v>5165.3999999999996</v>
      </c>
      <c r="C115" s="2">
        <v>5075.6000000000004</v>
      </c>
      <c r="D115">
        <f t="shared" si="1"/>
        <v>1.7692489557884636</v>
      </c>
    </row>
    <row r="116" spans="1:4" x14ac:dyDescent="0.25">
      <c r="A116" s="1">
        <v>26573</v>
      </c>
      <c r="B116" s="2">
        <v>5251.2</v>
      </c>
      <c r="C116" s="2">
        <v>5118.2</v>
      </c>
      <c r="D116">
        <f t="shared" si="1"/>
        <v>2.5985698096987222</v>
      </c>
    </row>
    <row r="117" spans="1:4" x14ac:dyDescent="0.25">
      <c r="A117" s="1">
        <v>26665</v>
      </c>
      <c r="B117" s="2">
        <v>5380.5</v>
      </c>
      <c r="C117" s="2">
        <v>5162.3999999999996</v>
      </c>
      <c r="D117">
        <f t="shared" si="1"/>
        <v>4.2247791724779242</v>
      </c>
    </row>
    <row r="118" spans="1:4" x14ac:dyDescent="0.25">
      <c r="A118" s="1">
        <v>26755</v>
      </c>
      <c r="B118" s="2">
        <v>5441.5</v>
      </c>
      <c r="C118" s="2">
        <v>5208.6000000000004</v>
      </c>
      <c r="D118">
        <f t="shared" si="1"/>
        <v>4.4714510617056336</v>
      </c>
    </row>
    <row r="119" spans="1:4" x14ac:dyDescent="0.25">
      <c r="A119" s="1">
        <v>26846</v>
      </c>
      <c r="B119" s="2">
        <v>5411.9</v>
      </c>
      <c r="C119" s="2">
        <v>5256</v>
      </c>
      <c r="D119">
        <f t="shared" si="1"/>
        <v>2.9661339421613326</v>
      </c>
    </row>
    <row r="120" spans="1:4" x14ac:dyDescent="0.25">
      <c r="A120" s="1">
        <v>26938</v>
      </c>
      <c r="B120" s="2">
        <v>5462.4</v>
      </c>
      <c r="C120" s="2">
        <v>5304.3</v>
      </c>
      <c r="D120">
        <f t="shared" si="1"/>
        <v>2.9806006447599014</v>
      </c>
    </row>
    <row r="121" spans="1:4" x14ac:dyDescent="0.25">
      <c r="A121" s="1">
        <v>27030</v>
      </c>
      <c r="B121" s="2">
        <v>5417</v>
      </c>
      <c r="C121" s="2">
        <v>5353.5</v>
      </c>
      <c r="D121">
        <f t="shared" si="1"/>
        <v>1.1861399084710935</v>
      </c>
    </row>
    <row r="122" spans="1:4" x14ac:dyDescent="0.25">
      <c r="A122" s="1">
        <v>27120</v>
      </c>
      <c r="B122" s="2">
        <v>5431.3</v>
      </c>
      <c r="C122" s="2">
        <v>5403.7</v>
      </c>
      <c r="D122">
        <f t="shared" si="1"/>
        <v>0.51076114514129878</v>
      </c>
    </row>
    <row r="123" spans="1:4" x14ac:dyDescent="0.25">
      <c r="A123" s="1">
        <v>27211</v>
      </c>
      <c r="B123" s="2">
        <v>5378.7</v>
      </c>
      <c r="C123" s="2">
        <v>5454.1</v>
      </c>
      <c r="D123">
        <f t="shared" si="1"/>
        <v>-1.3824462331090472</v>
      </c>
    </row>
    <row r="124" spans="1:4" x14ac:dyDescent="0.25">
      <c r="A124" s="1">
        <v>27303</v>
      </c>
      <c r="B124" s="2">
        <v>5357.2</v>
      </c>
      <c r="C124" s="2">
        <v>5504.2</v>
      </c>
      <c r="D124">
        <f t="shared" si="1"/>
        <v>-2.6706878383779662</v>
      </c>
    </row>
    <row r="125" spans="1:4" x14ac:dyDescent="0.25">
      <c r="A125" s="1">
        <v>27395</v>
      </c>
      <c r="B125" s="2">
        <v>5292.4</v>
      </c>
      <c r="C125" s="2">
        <v>5553</v>
      </c>
      <c r="D125">
        <f t="shared" si="1"/>
        <v>-4.6929587610300807</v>
      </c>
    </row>
    <row r="126" spans="1:4" x14ac:dyDescent="0.25">
      <c r="A126" s="1">
        <v>27485</v>
      </c>
      <c r="B126" s="2">
        <v>5333.2</v>
      </c>
      <c r="C126" s="2">
        <v>5600.3</v>
      </c>
      <c r="D126">
        <f t="shared" si="1"/>
        <v>-4.7693873542488854</v>
      </c>
    </row>
    <row r="127" spans="1:4" x14ac:dyDescent="0.25">
      <c r="A127" s="1">
        <v>27576</v>
      </c>
      <c r="B127" s="2">
        <v>5421.4</v>
      </c>
      <c r="C127" s="2">
        <v>5646.9</v>
      </c>
      <c r="D127">
        <f t="shared" si="1"/>
        <v>-3.9933414793957747</v>
      </c>
    </row>
    <row r="128" spans="1:4" x14ac:dyDescent="0.25">
      <c r="A128" s="1">
        <v>27668</v>
      </c>
      <c r="B128" s="2">
        <v>5494.4</v>
      </c>
      <c r="C128" s="2">
        <v>5693</v>
      </c>
      <c r="D128">
        <f t="shared" si="1"/>
        <v>-3.4884946425434804</v>
      </c>
    </row>
    <row r="129" spans="1:4" x14ac:dyDescent="0.25">
      <c r="A129" s="1">
        <v>27760</v>
      </c>
      <c r="B129" s="2">
        <v>5618.5</v>
      </c>
      <c r="C129" s="2">
        <v>5738.4</v>
      </c>
      <c r="D129">
        <f t="shared" si="1"/>
        <v>-2.0894325944514085</v>
      </c>
    </row>
    <row r="130" spans="1:4" x14ac:dyDescent="0.25">
      <c r="A130" s="1">
        <v>27851</v>
      </c>
      <c r="B130" s="2">
        <v>5661</v>
      </c>
      <c r="C130" s="2">
        <v>5783.4</v>
      </c>
      <c r="D130">
        <f t="shared" si="1"/>
        <v>-2.1164021164021105</v>
      </c>
    </row>
    <row r="131" spans="1:4" x14ac:dyDescent="0.25">
      <c r="A131" s="1">
        <v>27942</v>
      </c>
      <c r="B131" s="2">
        <v>5689.8</v>
      </c>
      <c r="C131" s="2">
        <v>5828.8</v>
      </c>
      <c r="D131">
        <f t="shared" si="1"/>
        <v>-2.384710403513588</v>
      </c>
    </row>
    <row r="132" spans="1:4" x14ac:dyDescent="0.25">
      <c r="A132" s="1">
        <v>28034</v>
      </c>
      <c r="B132" s="2">
        <v>5732.5</v>
      </c>
      <c r="C132" s="2">
        <v>5875.3</v>
      </c>
      <c r="D132">
        <f t="shared" si="1"/>
        <v>-2.4305141865096282</v>
      </c>
    </row>
    <row r="133" spans="1:4" x14ac:dyDescent="0.25">
      <c r="A133" s="1">
        <v>28126</v>
      </c>
      <c r="B133" s="2">
        <v>5799.2</v>
      </c>
      <c r="C133" s="2">
        <v>5924</v>
      </c>
      <c r="D133">
        <f t="shared" si="1"/>
        <v>-2.1066846725185719</v>
      </c>
    </row>
    <row r="134" spans="1:4" x14ac:dyDescent="0.25">
      <c r="A134" s="1">
        <v>28216</v>
      </c>
      <c r="B134" s="2">
        <v>5913</v>
      </c>
      <c r="C134" s="2">
        <v>5974.9</v>
      </c>
      <c r="D134">
        <f t="shared" si="1"/>
        <v>-1.0360006025205382</v>
      </c>
    </row>
    <row r="135" spans="1:4" x14ac:dyDescent="0.25">
      <c r="A135" s="1">
        <v>28307</v>
      </c>
      <c r="B135" s="2">
        <v>6017.6</v>
      </c>
      <c r="C135" s="2">
        <v>6027.4</v>
      </c>
      <c r="D135">
        <f t="shared" si="1"/>
        <v>-0.16259083518597195</v>
      </c>
    </row>
    <row r="136" spans="1:4" x14ac:dyDescent="0.25">
      <c r="A136" s="1">
        <v>28399</v>
      </c>
      <c r="B136" s="2">
        <v>6018.2</v>
      </c>
      <c r="C136" s="2">
        <v>6081.6</v>
      </c>
      <c r="D136">
        <f t="shared" si="1"/>
        <v>-1.0424888187319217</v>
      </c>
    </row>
    <row r="137" spans="1:4" x14ac:dyDescent="0.25">
      <c r="A137" s="1">
        <v>28491</v>
      </c>
      <c r="B137" s="2">
        <v>6039.2</v>
      </c>
      <c r="C137" s="2">
        <v>6137.8</v>
      </c>
      <c r="D137">
        <f t="shared" si="1"/>
        <v>-1.6064387891426957</v>
      </c>
    </row>
    <row r="138" spans="1:4" x14ac:dyDescent="0.25">
      <c r="A138" s="1">
        <v>28581</v>
      </c>
      <c r="B138" s="2">
        <v>6274</v>
      </c>
      <c r="C138" s="2">
        <v>6197.5</v>
      </c>
      <c r="D138">
        <f t="shared" si="1"/>
        <v>1.2343686970552643</v>
      </c>
    </row>
    <row r="139" spans="1:4" x14ac:dyDescent="0.25">
      <c r="A139" s="1">
        <v>28672</v>
      </c>
      <c r="B139" s="2">
        <v>6335.3</v>
      </c>
      <c r="C139" s="2">
        <v>6257.6</v>
      </c>
      <c r="D139">
        <f t="shared" si="1"/>
        <v>1.2416901048325206</v>
      </c>
    </row>
    <row r="140" spans="1:4" x14ac:dyDescent="0.25">
      <c r="A140" s="1">
        <v>28764</v>
      </c>
      <c r="B140" s="2">
        <v>6420.3</v>
      </c>
      <c r="C140" s="2">
        <v>6317.1</v>
      </c>
      <c r="D140">
        <f t="shared" si="1"/>
        <v>1.6336610153393141</v>
      </c>
    </row>
    <row r="141" spans="1:4" x14ac:dyDescent="0.25">
      <c r="A141" s="1">
        <v>28856</v>
      </c>
      <c r="B141" s="2">
        <v>6433</v>
      </c>
      <c r="C141" s="2">
        <v>6374.7</v>
      </c>
      <c r="D141">
        <f t="shared" si="1"/>
        <v>0.91455284170235751</v>
      </c>
    </row>
    <row r="142" spans="1:4" x14ac:dyDescent="0.25">
      <c r="A142" s="1">
        <v>28946</v>
      </c>
      <c r="B142" s="2">
        <v>6440.8</v>
      </c>
      <c r="C142" s="2">
        <v>6429.2</v>
      </c>
      <c r="D142">
        <f t="shared" si="1"/>
        <v>0.18042680271262931</v>
      </c>
    </row>
    <row r="143" spans="1:4" x14ac:dyDescent="0.25">
      <c r="A143" s="1">
        <v>29037</v>
      </c>
      <c r="B143" s="2">
        <v>6487.1</v>
      </c>
      <c r="C143" s="2">
        <v>6481</v>
      </c>
      <c r="D143">
        <f t="shared" si="1"/>
        <v>9.4121277580625884E-2</v>
      </c>
    </row>
    <row r="144" spans="1:4" x14ac:dyDescent="0.25">
      <c r="A144" s="1">
        <v>29129</v>
      </c>
      <c r="B144" s="2">
        <v>6503.9</v>
      </c>
      <c r="C144" s="2">
        <v>6529.5</v>
      </c>
      <c r="D144">
        <f t="shared" si="1"/>
        <v>-0.39206677387243077</v>
      </c>
    </row>
    <row r="145" spans="1:4" x14ac:dyDescent="0.25">
      <c r="A145" s="1">
        <v>29221</v>
      </c>
      <c r="B145" s="2">
        <v>6524.9</v>
      </c>
      <c r="C145" s="2">
        <v>6572.3</v>
      </c>
      <c r="D145">
        <f t="shared" si="1"/>
        <v>-0.72120870927986458</v>
      </c>
    </row>
    <row r="146" spans="1:4" x14ac:dyDescent="0.25">
      <c r="A146" s="1">
        <v>29312</v>
      </c>
      <c r="B146" s="2">
        <v>6392.6</v>
      </c>
      <c r="C146" s="2">
        <v>6609</v>
      </c>
      <c r="D146">
        <f t="shared" si="1"/>
        <v>-3.274322893024658</v>
      </c>
    </row>
    <row r="147" spans="1:4" x14ac:dyDescent="0.25">
      <c r="A147" s="1">
        <v>29403</v>
      </c>
      <c r="B147" s="2">
        <v>6382.9</v>
      </c>
      <c r="C147" s="2">
        <v>6643.7</v>
      </c>
      <c r="D147">
        <f t="shared" si="1"/>
        <v>-3.925523428210187</v>
      </c>
    </row>
    <row r="148" spans="1:4" x14ac:dyDescent="0.25">
      <c r="A148" s="1">
        <v>29495</v>
      </c>
      <c r="B148" s="2">
        <v>6501.2</v>
      </c>
      <c r="C148" s="2">
        <v>6677.7</v>
      </c>
      <c r="D148">
        <f t="shared" si="1"/>
        <v>-2.6431256270871706</v>
      </c>
    </row>
    <row r="149" spans="1:4" x14ac:dyDescent="0.25">
      <c r="A149" s="1">
        <v>29587</v>
      </c>
      <c r="B149" s="2">
        <v>6635.7</v>
      </c>
      <c r="C149" s="2">
        <v>6713.4</v>
      </c>
      <c r="D149">
        <f t="shared" si="1"/>
        <v>-1.1573867190991125</v>
      </c>
    </row>
    <row r="150" spans="1:4" x14ac:dyDescent="0.25">
      <c r="A150" s="1">
        <v>29677</v>
      </c>
      <c r="B150" s="2">
        <v>6587.3</v>
      </c>
      <c r="C150" s="2">
        <v>6752.9</v>
      </c>
      <c r="D150">
        <f t="shared" ref="D150:D213" si="2">(B150-C150)/C150*100</f>
        <v>-2.4522797612877354</v>
      </c>
    </row>
    <row r="151" spans="1:4" x14ac:dyDescent="0.25">
      <c r="A151" s="1">
        <v>29768</v>
      </c>
      <c r="B151" s="2">
        <v>6662.9</v>
      </c>
      <c r="C151" s="2">
        <v>6794.5</v>
      </c>
      <c r="D151">
        <f t="shared" si="2"/>
        <v>-1.9368606961513042</v>
      </c>
    </row>
    <row r="152" spans="1:4" x14ac:dyDescent="0.25">
      <c r="A152" s="1">
        <v>29860</v>
      </c>
      <c r="B152" s="2">
        <v>6585.1</v>
      </c>
      <c r="C152" s="2">
        <v>6838.6</v>
      </c>
      <c r="D152">
        <f t="shared" si="2"/>
        <v>-3.70689907290966</v>
      </c>
    </row>
    <row r="153" spans="1:4" x14ac:dyDescent="0.25">
      <c r="A153" s="1">
        <v>29952</v>
      </c>
      <c r="B153" s="2">
        <v>6475</v>
      </c>
      <c r="C153" s="2">
        <v>6888.2</v>
      </c>
      <c r="D153">
        <f t="shared" si="2"/>
        <v>-5.9986643825672861</v>
      </c>
    </row>
    <row r="154" spans="1:4" x14ac:dyDescent="0.25">
      <c r="A154" s="1">
        <v>30042</v>
      </c>
      <c r="B154" s="2">
        <v>6510.2</v>
      </c>
      <c r="C154" s="2">
        <v>6939.4</v>
      </c>
      <c r="D154">
        <f t="shared" si="2"/>
        <v>-6.1849727642159245</v>
      </c>
    </row>
    <row r="155" spans="1:4" x14ac:dyDescent="0.25">
      <c r="A155" s="1">
        <v>30133</v>
      </c>
      <c r="B155" s="2">
        <v>6486.8</v>
      </c>
      <c r="C155" s="2">
        <v>6991.9</v>
      </c>
      <c r="D155">
        <f t="shared" si="2"/>
        <v>-7.224073570846258</v>
      </c>
    </row>
    <row r="156" spans="1:4" x14ac:dyDescent="0.25">
      <c r="A156" s="1">
        <v>30225</v>
      </c>
      <c r="B156" s="2">
        <v>6493.1</v>
      </c>
      <c r="C156" s="2">
        <v>7045.3</v>
      </c>
      <c r="D156">
        <f t="shared" si="2"/>
        <v>-7.8378493463727565</v>
      </c>
    </row>
    <row r="157" spans="1:4" x14ac:dyDescent="0.25">
      <c r="A157" s="1">
        <v>30317</v>
      </c>
      <c r="B157" s="2">
        <v>6578.2</v>
      </c>
      <c r="C157" s="2">
        <v>7096.9</v>
      </c>
      <c r="D157">
        <f t="shared" si="2"/>
        <v>-7.308824979920808</v>
      </c>
    </row>
    <row r="158" spans="1:4" x14ac:dyDescent="0.25">
      <c r="A158" s="1">
        <v>30407</v>
      </c>
      <c r="B158" s="2">
        <v>6728.3</v>
      </c>
      <c r="C158" s="2">
        <v>7148.6</v>
      </c>
      <c r="D158">
        <f t="shared" si="2"/>
        <v>-5.8794729037853584</v>
      </c>
    </row>
    <row r="159" spans="1:4" x14ac:dyDescent="0.25">
      <c r="A159" s="1">
        <v>30498</v>
      </c>
      <c r="B159" s="2">
        <v>6860</v>
      </c>
      <c r="C159" s="2">
        <v>7201</v>
      </c>
      <c r="D159">
        <f t="shared" si="2"/>
        <v>-4.7354534092487155</v>
      </c>
    </row>
    <row r="160" spans="1:4" x14ac:dyDescent="0.25">
      <c r="A160" s="1">
        <v>30590</v>
      </c>
      <c r="B160" s="2">
        <v>7001.5</v>
      </c>
      <c r="C160" s="2">
        <v>7254.5</v>
      </c>
      <c r="D160">
        <f t="shared" si="2"/>
        <v>-3.4874905231235784</v>
      </c>
    </row>
    <row r="161" spans="1:4" x14ac:dyDescent="0.25">
      <c r="A161" s="1">
        <v>30682</v>
      </c>
      <c r="B161" s="2">
        <v>7140.6</v>
      </c>
      <c r="C161" s="2">
        <v>7309.8</v>
      </c>
      <c r="D161">
        <f t="shared" si="2"/>
        <v>-2.3147008126077293</v>
      </c>
    </row>
    <row r="162" spans="1:4" x14ac:dyDescent="0.25">
      <c r="A162" s="1">
        <v>30773</v>
      </c>
      <c r="B162" s="2">
        <v>7266</v>
      </c>
      <c r="C162" s="2">
        <v>7367.1</v>
      </c>
      <c r="D162">
        <f t="shared" si="2"/>
        <v>-1.3723174654884602</v>
      </c>
    </row>
    <row r="163" spans="1:4" x14ac:dyDescent="0.25">
      <c r="A163" s="1">
        <v>30864</v>
      </c>
      <c r="B163" s="2">
        <v>7337.5</v>
      </c>
      <c r="C163" s="2">
        <v>7425.8</v>
      </c>
      <c r="D163">
        <f t="shared" si="2"/>
        <v>-1.1890974709795601</v>
      </c>
    </row>
    <row r="164" spans="1:4" x14ac:dyDescent="0.25">
      <c r="A164" s="1">
        <v>30956</v>
      </c>
      <c r="B164" s="2">
        <v>7396</v>
      </c>
      <c r="C164" s="2">
        <v>7486.1</v>
      </c>
      <c r="D164">
        <f t="shared" si="2"/>
        <v>-1.2035639384993568</v>
      </c>
    </row>
    <row r="165" spans="1:4" x14ac:dyDescent="0.25">
      <c r="A165" s="1">
        <v>31048</v>
      </c>
      <c r="B165" s="2">
        <v>7469.5</v>
      </c>
      <c r="C165" s="2">
        <v>7548.4</v>
      </c>
      <c r="D165">
        <f t="shared" si="2"/>
        <v>-1.0452546234963653</v>
      </c>
    </row>
    <row r="166" spans="1:4" x14ac:dyDescent="0.25">
      <c r="A166" s="1">
        <v>31138</v>
      </c>
      <c r="B166" s="2">
        <v>7537.9</v>
      </c>
      <c r="C166" s="2">
        <v>7612.5</v>
      </c>
      <c r="D166">
        <f t="shared" si="2"/>
        <v>-0.97996715927750888</v>
      </c>
    </row>
    <row r="167" spans="1:4" x14ac:dyDescent="0.25">
      <c r="A167" s="1">
        <v>31229</v>
      </c>
      <c r="B167" s="2">
        <v>7655.2</v>
      </c>
      <c r="C167" s="2">
        <v>7677.7</v>
      </c>
      <c r="D167">
        <f t="shared" si="2"/>
        <v>-0.29305651432069502</v>
      </c>
    </row>
    <row r="168" spans="1:4" x14ac:dyDescent="0.25">
      <c r="A168" s="1">
        <v>31321</v>
      </c>
      <c r="B168" s="2">
        <v>7712.6</v>
      </c>
      <c r="C168" s="2">
        <v>7743.8</v>
      </c>
      <c r="D168">
        <f t="shared" si="2"/>
        <v>-0.40290296753531624</v>
      </c>
    </row>
    <row r="169" spans="1:4" x14ac:dyDescent="0.25">
      <c r="A169" s="1">
        <v>31413</v>
      </c>
      <c r="B169" s="2">
        <v>7784.1</v>
      </c>
      <c r="C169" s="2">
        <v>7810.1</v>
      </c>
      <c r="D169">
        <f t="shared" si="2"/>
        <v>-0.33290226757659952</v>
      </c>
    </row>
    <row r="170" spans="1:4" x14ac:dyDescent="0.25">
      <c r="A170" s="1">
        <v>31503</v>
      </c>
      <c r="B170" s="2">
        <v>7819.8</v>
      </c>
      <c r="C170" s="2">
        <v>7876.8</v>
      </c>
      <c r="D170">
        <f t="shared" si="2"/>
        <v>-0.72364411943936624</v>
      </c>
    </row>
    <row r="171" spans="1:4" x14ac:dyDescent="0.25">
      <c r="A171" s="1">
        <v>31594</v>
      </c>
      <c r="B171" s="2">
        <v>7898.6</v>
      </c>
      <c r="C171" s="2">
        <v>7943.7</v>
      </c>
      <c r="D171">
        <f t="shared" si="2"/>
        <v>-0.56774550901971943</v>
      </c>
    </row>
    <row r="172" spans="1:4" x14ac:dyDescent="0.25">
      <c r="A172" s="1">
        <v>31686</v>
      </c>
      <c r="B172" s="2">
        <v>7939.5</v>
      </c>
      <c r="C172" s="2">
        <v>8010.6</v>
      </c>
      <c r="D172">
        <f t="shared" si="2"/>
        <v>-0.88757396449704595</v>
      </c>
    </row>
    <row r="173" spans="1:4" x14ac:dyDescent="0.25">
      <c r="A173" s="1">
        <v>31778</v>
      </c>
      <c r="B173" s="2">
        <v>7995</v>
      </c>
      <c r="C173" s="2">
        <v>8076.8</v>
      </c>
      <c r="D173">
        <f t="shared" si="2"/>
        <v>-1.0127773375594318</v>
      </c>
    </row>
    <row r="174" spans="1:4" x14ac:dyDescent="0.25">
      <c r="A174" s="1">
        <v>31868</v>
      </c>
      <c r="B174" s="2">
        <v>8084.7</v>
      </c>
      <c r="C174" s="2">
        <v>8142.6</v>
      </c>
      <c r="D174">
        <f t="shared" si="2"/>
        <v>-0.71107508658168816</v>
      </c>
    </row>
    <row r="175" spans="1:4" x14ac:dyDescent="0.25">
      <c r="A175" s="1">
        <v>31959</v>
      </c>
      <c r="B175" s="2">
        <v>8158</v>
      </c>
      <c r="C175" s="2">
        <v>8208.2000000000007</v>
      </c>
      <c r="D175">
        <f t="shared" si="2"/>
        <v>-0.61158353841281554</v>
      </c>
    </row>
    <row r="176" spans="1:4" x14ac:dyDescent="0.25">
      <c r="A176" s="1">
        <v>32051</v>
      </c>
      <c r="B176" s="2">
        <v>8292.7000000000007</v>
      </c>
      <c r="C176" s="2">
        <v>8273.7000000000007</v>
      </c>
      <c r="D176">
        <f t="shared" si="2"/>
        <v>0.22964332765268258</v>
      </c>
    </row>
    <row r="177" spans="1:4" x14ac:dyDescent="0.25">
      <c r="A177" s="1">
        <v>32143</v>
      </c>
      <c r="B177" s="2">
        <v>8339.2999999999993</v>
      </c>
      <c r="C177" s="2">
        <v>8338.7999999999993</v>
      </c>
      <c r="D177">
        <f t="shared" si="2"/>
        <v>5.9960665803233081E-3</v>
      </c>
    </row>
    <row r="178" spans="1:4" x14ac:dyDescent="0.25">
      <c r="A178" s="1">
        <v>32234</v>
      </c>
      <c r="B178" s="2">
        <v>8449.5</v>
      </c>
      <c r="C178" s="2">
        <v>8404</v>
      </c>
      <c r="D178">
        <f t="shared" si="2"/>
        <v>0.54140885292717755</v>
      </c>
    </row>
    <row r="179" spans="1:4" x14ac:dyDescent="0.25">
      <c r="A179" s="1">
        <v>32325</v>
      </c>
      <c r="B179" s="2">
        <v>8498.2999999999993</v>
      </c>
      <c r="C179" s="2">
        <v>8469.1</v>
      </c>
      <c r="D179">
        <f t="shared" si="2"/>
        <v>0.34478279864447114</v>
      </c>
    </row>
    <row r="180" spans="1:4" x14ac:dyDescent="0.25">
      <c r="A180" s="1">
        <v>32417</v>
      </c>
      <c r="B180" s="2">
        <v>8610.9</v>
      </c>
      <c r="C180" s="2">
        <v>8534.2000000000007</v>
      </c>
      <c r="D180">
        <f t="shared" si="2"/>
        <v>0.89873684703895984</v>
      </c>
    </row>
    <row r="181" spans="1:4" x14ac:dyDescent="0.25">
      <c r="A181" s="1">
        <v>32509</v>
      </c>
      <c r="B181" s="2">
        <v>8697.7000000000007</v>
      </c>
      <c r="C181" s="2">
        <v>8599.7000000000007</v>
      </c>
      <c r="D181">
        <f t="shared" si="2"/>
        <v>1.1395746363245229</v>
      </c>
    </row>
    <row r="182" spans="1:4" x14ac:dyDescent="0.25">
      <c r="A182" s="1">
        <v>32599</v>
      </c>
      <c r="B182" s="2">
        <v>8766.1</v>
      </c>
      <c r="C182" s="2">
        <v>8665.4</v>
      </c>
      <c r="D182">
        <f t="shared" si="2"/>
        <v>1.1620929212731177</v>
      </c>
    </row>
    <row r="183" spans="1:4" x14ac:dyDescent="0.25">
      <c r="A183" s="1">
        <v>32690</v>
      </c>
      <c r="B183" s="2">
        <v>8831.5</v>
      </c>
      <c r="C183" s="2">
        <v>8731.2000000000007</v>
      </c>
      <c r="D183">
        <f t="shared" si="2"/>
        <v>1.1487538940809885</v>
      </c>
    </row>
    <row r="184" spans="1:4" x14ac:dyDescent="0.25">
      <c r="A184" s="1">
        <v>32782</v>
      </c>
      <c r="B184" s="2">
        <v>8850.2000000000007</v>
      </c>
      <c r="C184" s="2">
        <v>8797.1</v>
      </c>
      <c r="D184">
        <f t="shared" si="2"/>
        <v>0.60360800718418983</v>
      </c>
    </row>
    <row r="185" spans="1:4" x14ac:dyDescent="0.25">
      <c r="A185" s="1">
        <v>32874</v>
      </c>
      <c r="B185" s="2">
        <v>8947.1</v>
      </c>
      <c r="C185" s="2">
        <v>8863</v>
      </c>
      <c r="D185">
        <f t="shared" si="2"/>
        <v>0.94888863815864122</v>
      </c>
    </row>
    <row r="186" spans="1:4" x14ac:dyDescent="0.25">
      <c r="A186" s="1">
        <v>32964</v>
      </c>
      <c r="B186" s="2">
        <v>8981.7000000000007</v>
      </c>
      <c r="C186" s="2">
        <v>8929</v>
      </c>
      <c r="D186">
        <f t="shared" si="2"/>
        <v>0.59021166983985585</v>
      </c>
    </row>
    <row r="187" spans="1:4" x14ac:dyDescent="0.25">
      <c r="A187" s="1">
        <v>33055</v>
      </c>
      <c r="B187" s="2">
        <v>8983.9</v>
      </c>
      <c r="C187" s="2">
        <v>8994.7999999999993</v>
      </c>
      <c r="D187">
        <f t="shared" si="2"/>
        <v>-0.12118112687330054</v>
      </c>
    </row>
    <row r="188" spans="1:4" x14ac:dyDescent="0.25">
      <c r="A188" s="1">
        <v>33147</v>
      </c>
      <c r="B188" s="2">
        <v>8907.4</v>
      </c>
      <c r="C188" s="2">
        <v>9060.2999999999993</v>
      </c>
      <c r="D188">
        <f t="shared" si="2"/>
        <v>-1.6875820888933</v>
      </c>
    </row>
    <row r="189" spans="1:4" x14ac:dyDescent="0.25">
      <c r="A189" s="1">
        <v>33239</v>
      </c>
      <c r="B189" s="2">
        <v>8865.6</v>
      </c>
      <c r="C189" s="2">
        <v>9125.4</v>
      </c>
      <c r="D189">
        <f t="shared" si="2"/>
        <v>-2.8469984877375158</v>
      </c>
    </row>
    <row r="190" spans="1:4" x14ac:dyDescent="0.25">
      <c r="A190" s="1">
        <v>33329</v>
      </c>
      <c r="B190" s="2">
        <v>8934.4</v>
      </c>
      <c r="C190" s="2">
        <v>9189.4</v>
      </c>
      <c r="D190">
        <f t="shared" si="2"/>
        <v>-2.7749363396957367</v>
      </c>
    </row>
    <row r="191" spans="1:4" x14ac:dyDescent="0.25">
      <c r="A191" s="1">
        <v>33420</v>
      </c>
      <c r="B191" s="2">
        <v>8977.2999999999993</v>
      </c>
      <c r="C191" s="2">
        <v>9253.1</v>
      </c>
      <c r="D191">
        <f t="shared" si="2"/>
        <v>-2.9806227102268545</v>
      </c>
    </row>
    <row r="192" spans="1:4" x14ac:dyDescent="0.25">
      <c r="A192" s="1">
        <v>33512</v>
      </c>
      <c r="B192" s="2">
        <v>9016.4</v>
      </c>
      <c r="C192" s="2">
        <v>9317</v>
      </c>
      <c r="D192">
        <f t="shared" si="2"/>
        <v>-3.226360416443065</v>
      </c>
    </row>
    <row r="193" spans="1:4" x14ac:dyDescent="0.25">
      <c r="A193" s="1">
        <v>33604</v>
      </c>
      <c r="B193" s="2">
        <v>9123</v>
      </c>
      <c r="C193" s="2">
        <v>9381.1</v>
      </c>
      <c r="D193">
        <f t="shared" si="2"/>
        <v>-2.7512765027555441</v>
      </c>
    </row>
    <row r="194" spans="1:4" x14ac:dyDescent="0.25">
      <c r="A194" s="1">
        <v>33695</v>
      </c>
      <c r="B194" s="2">
        <v>9223.5</v>
      </c>
      <c r="C194" s="2">
        <v>9446.2999999999993</v>
      </c>
      <c r="D194">
        <f t="shared" si="2"/>
        <v>-2.3585954288980795</v>
      </c>
    </row>
    <row r="195" spans="1:4" x14ac:dyDescent="0.25">
      <c r="A195" s="1">
        <v>33786</v>
      </c>
      <c r="B195" s="2">
        <v>9313.2000000000007</v>
      </c>
      <c r="C195" s="2">
        <v>9512.2000000000007</v>
      </c>
      <c r="D195">
        <f t="shared" si="2"/>
        <v>-2.0920502092050208</v>
      </c>
    </row>
    <row r="196" spans="1:4" x14ac:dyDescent="0.25">
      <c r="A196" s="1">
        <v>33878</v>
      </c>
      <c r="B196" s="2">
        <v>9406.5</v>
      </c>
      <c r="C196" s="2">
        <v>9579.2000000000007</v>
      </c>
      <c r="D196">
        <f t="shared" si="2"/>
        <v>-1.8028645398363197</v>
      </c>
    </row>
    <row r="197" spans="1:4" x14ac:dyDescent="0.25">
      <c r="A197" s="1">
        <v>33970</v>
      </c>
      <c r="B197" s="2">
        <v>9424.1</v>
      </c>
      <c r="C197" s="2">
        <v>9648.1</v>
      </c>
      <c r="D197">
        <f t="shared" si="2"/>
        <v>-2.3217006457229918</v>
      </c>
    </row>
    <row r="198" spans="1:4" x14ac:dyDescent="0.25">
      <c r="A198" s="1">
        <v>34060</v>
      </c>
      <c r="B198" s="2">
        <v>9480.1</v>
      </c>
      <c r="C198" s="2">
        <v>9717.7999999999993</v>
      </c>
      <c r="D198">
        <f t="shared" si="2"/>
        <v>-2.446026878511586</v>
      </c>
    </row>
    <row r="199" spans="1:4" x14ac:dyDescent="0.25">
      <c r="A199" s="1">
        <v>34151</v>
      </c>
      <c r="B199" s="2">
        <v>9526.2999999999993</v>
      </c>
      <c r="C199" s="2">
        <v>9788.5</v>
      </c>
      <c r="D199">
        <f t="shared" si="2"/>
        <v>-2.678653521990098</v>
      </c>
    </row>
    <row r="200" spans="1:4" x14ac:dyDescent="0.25">
      <c r="A200" s="1">
        <v>34243</v>
      </c>
      <c r="B200" s="2">
        <v>9653.5</v>
      </c>
      <c r="C200" s="2">
        <v>9860</v>
      </c>
      <c r="D200">
        <f t="shared" si="2"/>
        <v>-2.0943204868154162</v>
      </c>
    </row>
    <row r="201" spans="1:4" x14ac:dyDescent="0.25">
      <c r="A201" s="1">
        <v>34335</v>
      </c>
      <c r="B201" s="2">
        <v>9748.2000000000007</v>
      </c>
      <c r="C201" s="2">
        <v>9931.7999999999993</v>
      </c>
      <c r="D201">
        <f t="shared" si="2"/>
        <v>-1.8486075031716158</v>
      </c>
    </row>
    <row r="202" spans="1:4" x14ac:dyDescent="0.25">
      <c r="A202" s="1">
        <v>34425</v>
      </c>
      <c r="B202" s="2">
        <v>9881.4</v>
      </c>
      <c r="C202" s="2">
        <v>10004.1</v>
      </c>
      <c r="D202">
        <f t="shared" si="2"/>
        <v>-1.2264971361741757</v>
      </c>
    </row>
    <row r="203" spans="1:4" x14ac:dyDescent="0.25">
      <c r="A203" s="1">
        <v>34516</v>
      </c>
      <c r="B203" s="2">
        <v>9939.7000000000007</v>
      </c>
      <c r="C203" s="2">
        <v>10077.200000000001</v>
      </c>
      <c r="D203">
        <f t="shared" si="2"/>
        <v>-1.3644663200095264</v>
      </c>
    </row>
    <row r="204" spans="1:4" x14ac:dyDescent="0.25">
      <c r="A204" s="1">
        <v>34608</v>
      </c>
      <c r="B204" s="2">
        <v>10052.5</v>
      </c>
      <c r="C204" s="2">
        <v>10151.5</v>
      </c>
      <c r="D204">
        <f t="shared" si="2"/>
        <v>-0.97522533615721807</v>
      </c>
    </row>
    <row r="205" spans="1:4" x14ac:dyDescent="0.25">
      <c r="A205" s="1">
        <v>34700</v>
      </c>
      <c r="B205" s="2">
        <v>10086.9</v>
      </c>
      <c r="C205" s="2">
        <v>10227</v>
      </c>
      <c r="D205">
        <f t="shared" si="2"/>
        <v>-1.3699031974186013</v>
      </c>
    </row>
    <row r="206" spans="1:4" x14ac:dyDescent="0.25">
      <c r="A206" s="1">
        <v>34790</v>
      </c>
      <c r="B206" s="2">
        <v>10122.1</v>
      </c>
      <c r="C206" s="2">
        <v>10304.1</v>
      </c>
      <c r="D206">
        <f t="shared" si="2"/>
        <v>-1.7662872060636059</v>
      </c>
    </row>
    <row r="207" spans="1:4" x14ac:dyDescent="0.25">
      <c r="A207" s="1">
        <v>34881</v>
      </c>
      <c r="B207" s="2">
        <v>10208.799999999999</v>
      </c>
      <c r="C207" s="2">
        <v>10382.6</v>
      </c>
      <c r="D207">
        <f t="shared" si="2"/>
        <v>-1.673954500799425</v>
      </c>
    </row>
    <row r="208" spans="1:4" x14ac:dyDescent="0.25">
      <c r="A208" s="1">
        <v>34973</v>
      </c>
      <c r="B208" s="2">
        <v>10281.200000000001</v>
      </c>
      <c r="C208" s="2">
        <v>10462.6</v>
      </c>
      <c r="D208">
        <f t="shared" si="2"/>
        <v>-1.7337946590713553</v>
      </c>
    </row>
    <row r="209" spans="1:4" x14ac:dyDescent="0.25">
      <c r="A209" s="1">
        <v>35065</v>
      </c>
      <c r="B209" s="2">
        <v>10348.700000000001</v>
      </c>
      <c r="C209" s="2">
        <v>10544.3</v>
      </c>
      <c r="D209">
        <f t="shared" si="2"/>
        <v>-1.8550306800830645</v>
      </c>
    </row>
    <row r="210" spans="1:4" x14ac:dyDescent="0.25">
      <c r="A210" s="1">
        <v>35156</v>
      </c>
      <c r="B210" s="2">
        <v>10529.4</v>
      </c>
      <c r="C210" s="2">
        <v>10627.3</v>
      </c>
      <c r="D210">
        <f t="shared" si="2"/>
        <v>-0.92121234932673068</v>
      </c>
    </row>
    <row r="211" spans="1:4" x14ac:dyDescent="0.25">
      <c r="A211" s="1">
        <v>35247</v>
      </c>
      <c r="B211" s="2">
        <v>10626.8</v>
      </c>
      <c r="C211" s="2">
        <v>10711.7</v>
      </c>
      <c r="D211">
        <f t="shared" si="2"/>
        <v>-0.79259127869527202</v>
      </c>
    </row>
    <row r="212" spans="1:4" x14ac:dyDescent="0.25">
      <c r="A212" s="1">
        <v>35339</v>
      </c>
      <c r="B212" s="2">
        <v>10739.1</v>
      </c>
      <c r="C212" s="2">
        <v>10797.6</v>
      </c>
      <c r="D212">
        <f t="shared" si="2"/>
        <v>-0.54178706379195374</v>
      </c>
    </row>
    <row r="213" spans="1:4" x14ac:dyDescent="0.25">
      <c r="A213" s="1">
        <v>35431</v>
      </c>
      <c r="B213" s="2">
        <v>10820.9</v>
      </c>
      <c r="C213" s="2">
        <v>10884.8</v>
      </c>
      <c r="D213">
        <f t="shared" si="2"/>
        <v>-0.58705718065558987</v>
      </c>
    </row>
    <row r="214" spans="1:4" x14ac:dyDescent="0.25">
      <c r="A214" s="1">
        <v>35521</v>
      </c>
      <c r="B214" s="2">
        <v>10984.2</v>
      </c>
      <c r="C214" s="2">
        <v>10973.5</v>
      </c>
      <c r="D214">
        <f t="shared" ref="D214:D277" si="3">(B214-C214)/C214*100</f>
        <v>9.7507632022606539E-2</v>
      </c>
    </row>
    <row r="215" spans="1:4" x14ac:dyDescent="0.25">
      <c r="A215" s="1">
        <v>35612</v>
      </c>
      <c r="B215" s="2">
        <v>11124</v>
      </c>
      <c r="C215" s="2">
        <v>11063.8</v>
      </c>
      <c r="D215">
        <f t="shared" si="3"/>
        <v>0.54411684954537076</v>
      </c>
    </row>
    <row r="216" spans="1:4" x14ac:dyDescent="0.25">
      <c r="A216" s="1">
        <v>35704</v>
      </c>
      <c r="B216" s="2">
        <v>11210.3</v>
      </c>
      <c r="C216" s="2">
        <v>11155.9</v>
      </c>
      <c r="D216">
        <f t="shared" si="3"/>
        <v>0.48763434595146643</v>
      </c>
    </row>
    <row r="217" spans="1:4" x14ac:dyDescent="0.25">
      <c r="A217" s="1">
        <v>35796</v>
      </c>
      <c r="B217" s="2">
        <v>11321.2</v>
      </c>
      <c r="C217" s="2">
        <v>11249.9</v>
      </c>
      <c r="D217">
        <f t="shared" si="3"/>
        <v>0.63378341140811112</v>
      </c>
    </row>
    <row r="218" spans="1:4" x14ac:dyDescent="0.25">
      <c r="A218" s="1">
        <v>35886</v>
      </c>
      <c r="B218" s="2">
        <v>11431</v>
      </c>
      <c r="C218" s="2">
        <v>11346.2</v>
      </c>
      <c r="D218">
        <f t="shared" si="3"/>
        <v>0.74738679029101607</v>
      </c>
    </row>
    <row r="219" spans="1:4" x14ac:dyDescent="0.25">
      <c r="A219" s="1">
        <v>35977</v>
      </c>
      <c r="B219" s="2">
        <v>11580.6</v>
      </c>
      <c r="C219" s="2">
        <v>11444.1</v>
      </c>
      <c r="D219">
        <f t="shared" si="3"/>
        <v>1.1927543450336855</v>
      </c>
    </row>
    <row r="220" spans="1:4" x14ac:dyDescent="0.25">
      <c r="A220" s="1">
        <v>36069</v>
      </c>
      <c r="B220" s="2">
        <v>11770.7</v>
      </c>
      <c r="C220" s="2">
        <v>11543.7</v>
      </c>
      <c r="D220">
        <f t="shared" si="3"/>
        <v>1.9664405693148641</v>
      </c>
    </row>
    <row r="221" spans="1:4" x14ac:dyDescent="0.25">
      <c r="A221" s="1">
        <v>36161</v>
      </c>
      <c r="B221" s="2">
        <v>11864.7</v>
      </c>
      <c r="C221" s="2">
        <v>11644.9</v>
      </c>
      <c r="D221">
        <f t="shared" si="3"/>
        <v>1.8875215759688886</v>
      </c>
    </row>
    <row r="222" spans="1:4" x14ac:dyDescent="0.25">
      <c r="A222" s="1">
        <v>36251</v>
      </c>
      <c r="B222" s="2">
        <v>11962.5</v>
      </c>
      <c r="C222" s="2">
        <v>11747</v>
      </c>
      <c r="D222">
        <f t="shared" si="3"/>
        <v>1.8345109389631395</v>
      </c>
    </row>
    <row r="223" spans="1:4" x14ac:dyDescent="0.25">
      <c r="A223" s="1">
        <v>36342</v>
      </c>
      <c r="B223" s="2">
        <v>12113.1</v>
      </c>
      <c r="C223" s="2">
        <v>11850.6</v>
      </c>
      <c r="D223">
        <f t="shared" si="3"/>
        <v>2.2150777175839198</v>
      </c>
    </row>
    <row r="224" spans="1:4" x14ac:dyDescent="0.25">
      <c r="A224" s="1">
        <v>36434</v>
      </c>
      <c r="B224" s="2">
        <v>12323.3</v>
      </c>
      <c r="C224" s="2">
        <v>11955.7</v>
      </c>
      <c r="D224">
        <f t="shared" si="3"/>
        <v>3.0746840419214143</v>
      </c>
    </row>
    <row r="225" spans="1:4" x14ac:dyDescent="0.25">
      <c r="A225" s="1">
        <v>36526</v>
      </c>
      <c r="B225" s="2">
        <v>12359.1</v>
      </c>
      <c r="C225" s="2">
        <v>12062</v>
      </c>
      <c r="D225">
        <f t="shared" si="3"/>
        <v>2.4631072790582023</v>
      </c>
    </row>
    <row r="226" spans="1:4" x14ac:dyDescent="0.25">
      <c r="A226" s="1">
        <v>36617</v>
      </c>
      <c r="B226" s="2">
        <v>12592.5</v>
      </c>
      <c r="C226" s="2">
        <v>12171.2</v>
      </c>
      <c r="D226">
        <f t="shared" si="3"/>
        <v>3.4614499802813135</v>
      </c>
    </row>
    <row r="227" spans="1:4" x14ac:dyDescent="0.25">
      <c r="A227" s="1">
        <v>36708</v>
      </c>
      <c r="B227" s="2">
        <v>12607.7</v>
      </c>
      <c r="C227" s="2">
        <v>12281.8</v>
      </c>
      <c r="D227">
        <f t="shared" si="3"/>
        <v>2.6535198423683943</v>
      </c>
    </row>
    <row r="228" spans="1:4" x14ac:dyDescent="0.25">
      <c r="A228" s="1">
        <v>36800</v>
      </c>
      <c r="B228" s="2">
        <v>12679.3</v>
      </c>
      <c r="C228" s="2">
        <v>12393.4</v>
      </c>
      <c r="D228">
        <f t="shared" si="3"/>
        <v>2.3068730130553332</v>
      </c>
    </row>
    <row r="229" spans="1:4" x14ac:dyDescent="0.25">
      <c r="A229" s="1">
        <v>36892</v>
      </c>
      <c r="B229" s="2">
        <v>12643.3</v>
      </c>
      <c r="C229" s="2">
        <v>12505.9</v>
      </c>
      <c r="D229">
        <f t="shared" si="3"/>
        <v>1.0986814223686392</v>
      </c>
    </row>
    <row r="230" spans="1:4" x14ac:dyDescent="0.25">
      <c r="A230" s="1">
        <v>36982</v>
      </c>
      <c r="B230" s="2">
        <v>12710.3</v>
      </c>
      <c r="C230" s="2">
        <v>12618.3</v>
      </c>
      <c r="D230">
        <f t="shared" si="3"/>
        <v>0.72909979949755521</v>
      </c>
    </row>
    <row r="231" spans="1:4" x14ac:dyDescent="0.25">
      <c r="A231" s="1">
        <v>37073</v>
      </c>
      <c r="B231" s="2">
        <v>12670.1</v>
      </c>
      <c r="C231" s="2">
        <v>12730.4</v>
      </c>
      <c r="D231">
        <f t="shared" si="3"/>
        <v>-0.47366932696536851</v>
      </c>
    </row>
    <row r="232" spans="1:4" x14ac:dyDescent="0.25">
      <c r="A232" s="1">
        <v>37165</v>
      </c>
      <c r="B232" s="2">
        <v>12705.3</v>
      </c>
      <c r="C232" s="2">
        <v>12841.7</v>
      </c>
      <c r="D232">
        <f t="shared" si="3"/>
        <v>-1.0621646666718694</v>
      </c>
    </row>
    <row r="233" spans="1:4" x14ac:dyDescent="0.25">
      <c r="A233" s="1">
        <v>37257</v>
      </c>
      <c r="B233" s="2">
        <v>12822.3</v>
      </c>
      <c r="C233" s="2">
        <v>12950.5</v>
      </c>
      <c r="D233">
        <f t="shared" si="3"/>
        <v>-0.98992316898961985</v>
      </c>
    </row>
    <row r="234" spans="1:4" x14ac:dyDescent="0.25">
      <c r="A234" s="1">
        <v>37347</v>
      </c>
      <c r="B234" s="2">
        <v>12893</v>
      </c>
      <c r="C234" s="2">
        <v>13059.7</v>
      </c>
      <c r="D234">
        <f t="shared" si="3"/>
        <v>-1.2764458601652466</v>
      </c>
    </row>
    <row r="235" spans="1:4" x14ac:dyDescent="0.25">
      <c r="A235" s="1">
        <v>37438</v>
      </c>
      <c r="B235" s="2">
        <v>12955.8</v>
      </c>
      <c r="C235" s="2">
        <v>13167.2</v>
      </c>
      <c r="D235">
        <f t="shared" si="3"/>
        <v>-1.6055045871559741</v>
      </c>
    </row>
    <row r="236" spans="1:4" x14ac:dyDescent="0.25">
      <c r="A236" s="1">
        <v>37530</v>
      </c>
      <c r="B236" s="2">
        <v>12964</v>
      </c>
      <c r="C236" s="2">
        <v>13272.7</v>
      </c>
      <c r="D236">
        <f t="shared" si="3"/>
        <v>-2.3258266969041772</v>
      </c>
    </row>
    <row r="237" spans="1:4" x14ac:dyDescent="0.25">
      <c r="A237" s="1">
        <v>37622</v>
      </c>
      <c r="B237" s="2">
        <v>13031.2</v>
      </c>
      <c r="C237" s="2">
        <v>13375.7</v>
      </c>
      <c r="D237">
        <f t="shared" si="3"/>
        <v>-2.5755661385946156</v>
      </c>
    </row>
    <row r="238" spans="1:4" x14ac:dyDescent="0.25">
      <c r="A238" s="1">
        <v>37712</v>
      </c>
      <c r="B238" s="2">
        <v>13152.1</v>
      </c>
      <c r="C238" s="2">
        <v>13474.2</v>
      </c>
      <c r="D238">
        <f t="shared" si="3"/>
        <v>-2.3904944263852421</v>
      </c>
    </row>
    <row r="239" spans="1:4" x14ac:dyDescent="0.25">
      <c r="A239" s="1">
        <v>37803</v>
      </c>
      <c r="B239" s="2">
        <v>13372.4</v>
      </c>
      <c r="C239" s="2">
        <v>13569.6</v>
      </c>
      <c r="D239">
        <f t="shared" si="3"/>
        <v>-1.4532484376842407</v>
      </c>
    </row>
    <row r="240" spans="1:4" x14ac:dyDescent="0.25">
      <c r="A240" s="1">
        <v>37895</v>
      </c>
      <c r="B240" s="2">
        <v>13528.7</v>
      </c>
      <c r="C240" s="2">
        <v>13661.8</v>
      </c>
      <c r="D240">
        <f t="shared" si="3"/>
        <v>-0.97424936684769614</v>
      </c>
    </row>
    <row r="241" spans="1:4" x14ac:dyDescent="0.25">
      <c r="A241" s="1">
        <v>37987</v>
      </c>
      <c r="B241" s="2">
        <v>13606.5</v>
      </c>
      <c r="C241" s="2">
        <v>13749.3</v>
      </c>
      <c r="D241">
        <f t="shared" si="3"/>
        <v>-1.0385983286421803</v>
      </c>
    </row>
    <row r="242" spans="1:4" x14ac:dyDescent="0.25">
      <c r="A242" s="1">
        <v>38078</v>
      </c>
      <c r="B242" s="2">
        <v>13706.2</v>
      </c>
      <c r="C242" s="2">
        <v>13833.7</v>
      </c>
      <c r="D242">
        <f t="shared" si="3"/>
        <v>-0.92166231738435833</v>
      </c>
    </row>
    <row r="243" spans="1:4" x14ac:dyDescent="0.25">
      <c r="A243" s="1">
        <v>38169</v>
      </c>
      <c r="B243" s="2">
        <v>13830.8</v>
      </c>
      <c r="C243" s="2">
        <v>13916.1</v>
      </c>
      <c r="D243">
        <f t="shared" si="3"/>
        <v>-0.61295909054980269</v>
      </c>
    </row>
    <row r="244" spans="1:4" x14ac:dyDescent="0.25">
      <c r="A244" s="1">
        <v>38261</v>
      </c>
      <c r="B244" s="2">
        <v>13950.4</v>
      </c>
      <c r="C244" s="2">
        <v>13997.5</v>
      </c>
      <c r="D244">
        <f t="shared" si="3"/>
        <v>-0.33648865868905425</v>
      </c>
    </row>
    <row r="245" spans="1:4" x14ac:dyDescent="0.25">
      <c r="A245" s="1">
        <v>38353</v>
      </c>
      <c r="B245" s="2">
        <v>14099.1</v>
      </c>
      <c r="C245" s="2">
        <v>14080</v>
      </c>
      <c r="D245">
        <f t="shared" si="3"/>
        <v>0.13565340909091167</v>
      </c>
    </row>
    <row r="246" spans="1:4" x14ac:dyDescent="0.25">
      <c r="A246" s="1">
        <v>38443</v>
      </c>
      <c r="B246" s="2">
        <v>14172.7</v>
      </c>
      <c r="C246" s="2">
        <v>14162.2</v>
      </c>
      <c r="D246">
        <f t="shared" si="3"/>
        <v>7.4141023287342359E-2</v>
      </c>
    </row>
    <row r="247" spans="1:4" x14ac:dyDescent="0.25">
      <c r="A247" s="1">
        <v>38534</v>
      </c>
      <c r="B247" s="2">
        <v>14291.8</v>
      </c>
      <c r="C247" s="2">
        <v>14244.6</v>
      </c>
      <c r="D247">
        <f t="shared" si="3"/>
        <v>0.33135363576372034</v>
      </c>
    </row>
    <row r="248" spans="1:4" x14ac:dyDescent="0.25">
      <c r="A248" s="1">
        <v>38626</v>
      </c>
      <c r="B248" s="2">
        <v>14373.4</v>
      </c>
      <c r="C248" s="2">
        <v>14327.5</v>
      </c>
      <c r="D248">
        <f t="shared" si="3"/>
        <v>0.32036293840516233</v>
      </c>
    </row>
    <row r="249" spans="1:4" x14ac:dyDescent="0.25">
      <c r="A249" s="1">
        <v>38718</v>
      </c>
      <c r="B249" s="2">
        <v>14546.1</v>
      </c>
      <c r="C249" s="2">
        <v>14411.7</v>
      </c>
      <c r="D249">
        <f t="shared" si="3"/>
        <v>0.93257561564561875</v>
      </c>
    </row>
    <row r="250" spans="1:4" x14ac:dyDescent="0.25">
      <c r="A250" s="1">
        <v>38808</v>
      </c>
      <c r="B250" s="2">
        <v>14589.6</v>
      </c>
      <c r="C250" s="2">
        <v>14497.1</v>
      </c>
      <c r="D250">
        <f t="shared" si="3"/>
        <v>0.63805864621200103</v>
      </c>
    </row>
    <row r="251" spans="1:4" x14ac:dyDescent="0.25">
      <c r="A251" s="1">
        <v>38899</v>
      </c>
      <c r="B251" s="2">
        <v>14602.6</v>
      </c>
      <c r="C251" s="2">
        <v>14583.2</v>
      </c>
      <c r="D251">
        <f t="shared" si="3"/>
        <v>0.13302978770091362</v>
      </c>
    </row>
    <row r="252" spans="1:4" x14ac:dyDescent="0.25">
      <c r="A252" s="1">
        <v>38991</v>
      </c>
      <c r="B252" s="2">
        <v>14716.9</v>
      </c>
      <c r="C252" s="2">
        <v>14669.8</v>
      </c>
      <c r="D252">
        <f t="shared" si="3"/>
        <v>0.32106777188509977</v>
      </c>
    </row>
    <row r="253" spans="1:4" x14ac:dyDescent="0.25">
      <c r="A253" s="1">
        <v>39083</v>
      </c>
      <c r="B253" s="2">
        <v>14726</v>
      </c>
      <c r="C253" s="2">
        <v>14757</v>
      </c>
      <c r="D253">
        <f t="shared" si="3"/>
        <v>-0.21006979738429221</v>
      </c>
    </row>
    <row r="254" spans="1:4" x14ac:dyDescent="0.25">
      <c r="A254" s="1">
        <v>39173</v>
      </c>
      <c r="B254" s="2">
        <v>14838.7</v>
      </c>
      <c r="C254" s="2">
        <v>14846.3</v>
      </c>
      <c r="D254">
        <f t="shared" si="3"/>
        <v>-5.1191205889673158E-2</v>
      </c>
    </row>
    <row r="255" spans="1:4" x14ac:dyDescent="0.25">
      <c r="A255" s="1">
        <v>39264</v>
      </c>
      <c r="B255" s="2">
        <v>14938.5</v>
      </c>
      <c r="C255" s="2">
        <v>14935</v>
      </c>
      <c r="D255">
        <f t="shared" si="3"/>
        <v>2.3434884499497825E-2</v>
      </c>
    </row>
    <row r="256" spans="1:4" x14ac:dyDescent="0.25">
      <c r="A256" s="1">
        <v>39356</v>
      </c>
      <c r="B256" s="2">
        <v>14991.8</v>
      </c>
      <c r="C256" s="2">
        <v>15022.3</v>
      </c>
      <c r="D256">
        <f t="shared" si="3"/>
        <v>-0.20303149318013888</v>
      </c>
    </row>
    <row r="257" spans="1:4" x14ac:dyDescent="0.25">
      <c r="A257" s="1">
        <v>39448</v>
      </c>
      <c r="B257" s="2">
        <v>14889.5</v>
      </c>
      <c r="C257" s="2">
        <v>15107</v>
      </c>
      <c r="D257">
        <f t="shared" si="3"/>
        <v>-1.4397299265241279</v>
      </c>
    </row>
    <row r="258" spans="1:4" x14ac:dyDescent="0.25">
      <c r="A258" s="1">
        <v>39539</v>
      </c>
      <c r="B258" s="2">
        <v>14963.4</v>
      </c>
      <c r="C258" s="2">
        <v>15188.7</v>
      </c>
      <c r="D258">
        <f t="shared" si="3"/>
        <v>-1.4833395879831788</v>
      </c>
    </row>
    <row r="259" spans="1:4" x14ac:dyDescent="0.25">
      <c r="A259" s="1">
        <v>39630</v>
      </c>
      <c r="B259" s="2">
        <v>14891.6</v>
      </c>
      <c r="C259" s="2">
        <v>15266.9</v>
      </c>
      <c r="D259">
        <f t="shared" si="3"/>
        <v>-2.4582593715816525</v>
      </c>
    </row>
    <row r="260" spans="1:4" x14ac:dyDescent="0.25">
      <c r="A260" s="1">
        <v>39722</v>
      </c>
      <c r="B260" s="2">
        <v>14577</v>
      </c>
      <c r="C260" s="2">
        <v>15340.8</v>
      </c>
      <c r="D260">
        <f t="shared" si="3"/>
        <v>-4.9788798498122606</v>
      </c>
    </row>
    <row r="261" spans="1:4" x14ac:dyDescent="0.25">
      <c r="A261" s="1">
        <v>39814</v>
      </c>
      <c r="B261" s="2">
        <v>14375</v>
      </c>
      <c r="C261" s="2">
        <v>15408.3</v>
      </c>
      <c r="D261">
        <f t="shared" si="3"/>
        <v>-6.7061259191474685</v>
      </c>
    </row>
    <row r="262" spans="1:4" x14ac:dyDescent="0.25">
      <c r="A262" s="1">
        <v>39904</v>
      </c>
      <c r="B262" s="2">
        <v>14355.6</v>
      </c>
      <c r="C262" s="2">
        <v>15468.8</v>
      </c>
      <c r="D262">
        <f t="shared" si="3"/>
        <v>-7.1964211832850582</v>
      </c>
    </row>
    <row r="263" spans="1:4" x14ac:dyDescent="0.25">
      <c r="A263" s="1">
        <v>39995</v>
      </c>
      <c r="B263" s="2">
        <v>14402.5</v>
      </c>
      <c r="C263" s="2">
        <v>15525.4</v>
      </c>
      <c r="D263">
        <f t="shared" si="3"/>
        <v>-7.2326638927177376</v>
      </c>
    </row>
    <row r="264" spans="1:4" x14ac:dyDescent="0.25">
      <c r="A264" s="1">
        <v>40087</v>
      </c>
      <c r="B264" s="2">
        <v>14541.9</v>
      </c>
      <c r="C264" s="2">
        <v>15579.1</v>
      </c>
      <c r="D264">
        <f t="shared" si="3"/>
        <v>-6.6576374758490582</v>
      </c>
    </row>
    <row r="265" spans="1:4" x14ac:dyDescent="0.25">
      <c r="A265" s="1">
        <v>40179</v>
      </c>
      <c r="B265" s="2">
        <v>14604.8</v>
      </c>
      <c r="C265" s="2">
        <v>15630.7</v>
      </c>
      <c r="D265">
        <f t="shared" si="3"/>
        <v>-6.5633656841984136</v>
      </c>
    </row>
    <row r="266" spans="1:4" x14ac:dyDescent="0.25">
      <c r="A266" s="1">
        <v>40269</v>
      </c>
      <c r="B266" s="2">
        <v>14745.9</v>
      </c>
      <c r="C266" s="2">
        <v>15681</v>
      </c>
      <c r="D266">
        <f t="shared" si="3"/>
        <v>-5.9632676487468936</v>
      </c>
    </row>
    <row r="267" spans="1:4" x14ac:dyDescent="0.25">
      <c r="A267" s="1">
        <v>40360</v>
      </c>
      <c r="B267" s="2">
        <v>14845.5</v>
      </c>
      <c r="C267" s="2">
        <v>15731</v>
      </c>
      <c r="D267">
        <f t="shared" si="3"/>
        <v>-5.6290127773186702</v>
      </c>
    </row>
    <row r="268" spans="1:4" x14ac:dyDescent="0.25">
      <c r="A268" s="1">
        <v>40452</v>
      </c>
      <c r="B268" s="2">
        <v>14939</v>
      </c>
      <c r="C268" s="2">
        <v>15781.7</v>
      </c>
      <c r="D268">
        <f t="shared" si="3"/>
        <v>-5.3397289265415049</v>
      </c>
    </row>
    <row r="269" spans="1:4" x14ac:dyDescent="0.25">
      <c r="A269" s="1">
        <v>40544</v>
      </c>
      <c r="B269" s="2">
        <v>14881.3</v>
      </c>
      <c r="C269" s="2">
        <v>15836.2</v>
      </c>
      <c r="D269">
        <f t="shared" si="3"/>
        <v>-6.0298556471880964</v>
      </c>
    </row>
    <row r="270" spans="1:4" x14ac:dyDescent="0.25">
      <c r="A270" s="1">
        <v>40634</v>
      </c>
      <c r="B270" s="2">
        <v>14989.6</v>
      </c>
      <c r="C270" s="2">
        <v>15892.5</v>
      </c>
      <c r="D270">
        <f t="shared" si="3"/>
        <v>-5.6812962089035679</v>
      </c>
    </row>
    <row r="271" spans="1:4" x14ac:dyDescent="0.25">
      <c r="A271" s="1">
        <v>40725</v>
      </c>
      <c r="B271" s="2">
        <v>15021.1</v>
      </c>
      <c r="C271" s="2">
        <v>15950.5</v>
      </c>
      <c r="D271">
        <f t="shared" si="3"/>
        <v>-5.8267765900755446</v>
      </c>
    </row>
    <row r="272" spans="1:4" x14ac:dyDescent="0.25">
      <c r="A272" s="1">
        <v>40817</v>
      </c>
      <c r="B272" s="2">
        <v>15190.3</v>
      </c>
      <c r="C272" s="2">
        <v>16010.1</v>
      </c>
      <c r="D272">
        <f t="shared" si="3"/>
        <v>-5.1205176732187869</v>
      </c>
    </row>
    <row r="273" spans="1:4" x14ac:dyDescent="0.25">
      <c r="A273" s="1">
        <v>40909</v>
      </c>
      <c r="B273" s="2">
        <v>15275</v>
      </c>
      <c r="C273" s="2">
        <v>16071.5</v>
      </c>
      <c r="D273">
        <f t="shared" si="3"/>
        <v>-4.9559779734312288</v>
      </c>
    </row>
    <row r="274" spans="1:4" x14ac:dyDescent="0.25">
      <c r="A274" s="1">
        <v>41000</v>
      </c>
      <c r="B274" s="2">
        <v>15336.7</v>
      </c>
      <c r="C274" s="2">
        <v>16135.2</v>
      </c>
      <c r="D274">
        <f t="shared" si="3"/>
        <v>-4.9488075759829444</v>
      </c>
    </row>
    <row r="275" spans="1:4" x14ac:dyDescent="0.25">
      <c r="A275" s="1">
        <v>41091</v>
      </c>
      <c r="B275" s="2">
        <v>15431.3</v>
      </c>
      <c r="C275" s="2">
        <v>16200.1</v>
      </c>
      <c r="D275">
        <f t="shared" si="3"/>
        <v>-4.7456497182116228</v>
      </c>
    </row>
    <row r="276" spans="1:4" x14ac:dyDescent="0.25">
      <c r="A276" s="1">
        <v>41183</v>
      </c>
      <c r="B276" s="2">
        <v>15433.7</v>
      </c>
      <c r="C276" s="2">
        <v>16266</v>
      </c>
      <c r="D276">
        <f t="shared" si="3"/>
        <v>-5.116808065904336</v>
      </c>
    </row>
    <row r="277" spans="1:4" x14ac:dyDescent="0.25">
      <c r="A277" s="1">
        <v>41275</v>
      </c>
      <c r="B277" s="2">
        <v>15538.4</v>
      </c>
      <c r="C277" s="2">
        <v>16332.3</v>
      </c>
      <c r="D277">
        <f t="shared" si="3"/>
        <v>-4.8609197724753992</v>
      </c>
    </row>
    <row r="278" spans="1:4" x14ac:dyDescent="0.25">
      <c r="A278" s="1">
        <v>41365</v>
      </c>
      <c r="B278" s="2">
        <v>15606.6</v>
      </c>
      <c r="C278" s="2">
        <v>16398</v>
      </c>
      <c r="D278">
        <f t="shared" ref="D278:D283" si="4">(B278-C278)/C278*100</f>
        <v>-4.8261983168679086</v>
      </c>
    </row>
    <row r="279" spans="1:4" x14ac:dyDescent="0.25">
      <c r="A279" s="1">
        <v>41456</v>
      </c>
      <c r="B279" s="2">
        <v>15779.9</v>
      </c>
      <c r="C279" s="2">
        <v>16464.2</v>
      </c>
      <c r="D279">
        <f t="shared" si="4"/>
        <v>-4.1562906184327275</v>
      </c>
    </row>
    <row r="280" spans="1:4" x14ac:dyDescent="0.25">
      <c r="A280" s="1">
        <v>41548</v>
      </c>
      <c r="B280" s="2">
        <v>15916.2</v>
      </c>
      <c r="C280" s="2">
        <v>16531</v>
      </c>
      <c r="D280">
        <f t="shared" si="4"/>
        <v>-3.7190732563063293</v>
      </c>
    </row>
    <row r="281" spans="1:4" x14ac:dyDescent="0.25">
      <c r="A281" s="1">
        <v>41640</v>
      </c>
      <c r="B281" s="2">
        <v>15831.7</v>
      </c>
      <c r="C281" s="2">
        <v>16597.8</v>
      </c>
      <c r="D281">
        <f t="shared" si="4"/>
        <v>-4.6156719565243503</v>
      </c>
    </row>
    <row r="282" spans="1:4" x14ac:dyDescent="0.25">
      <c r="A282" s="1">
        <v>41730</v>
      </c>
      <c r="B282" s="2">
        <v>16010.4</v>
      </c>
      <c r="C282" s="2">
        <v>16665.3</v>
      </c>
      <c r="D282">
        <f t="shared" si="4"/>
        <v>-3.9297222372234502</v>
      </c>
    </row>
    <row r="283" spans="1:4" x14ac:dyDescent="0.25">
      <c r="A283" s="1">
        <v>41821</v>
      </c>
      <c r="B283" s="2">
        <v>16150.6</v>
      </c>
      <c r="C283" s="2">
        <v>16734.5</v>
      </c>
      <c r="D283">
        <f t="shared" si="4"/>
        <v>-3.4891989602318541</v>
      </c>
    </row>
    <row r="284" spans="1:4" x14ac:dyDescent="0.25">
      <c r="A284" s="1">
        <v>41913</v>
      </c>
      <c r="C284" s="2">
        <v>16805.8</v>
      </c>
    </row>
    <row r="285" spans="1:4" x14ac:dyDescent="0.25">
      <c r="A285" s="1">
        <v>42005</v>
      </c>
      <c r="C285" s="2">
        <v>16880.599999999999</v>
      </c>
    </row>
    <row r="286" spans="1:4" x14ac:dyDescent="0.25">
      <c r="A286" s="1">
        <v>42095</v>
      </c>
      <c r="C286" s="2">
        <v>16958.400000000001</v>
      </c>
    </row>
    <row r="287" spans="1:4" x14ac:dyDescent="0.25">
      <c r="A287" s="1">
        <v>42186</v>
      </c>
      <c r="C287" s="2">
        <v>17038.900000000001</v>
      </c>
    </row>
    <row r="288" spans="1:4" x14ac:dyDescent="0.25">
      <c r="A288" s="1">
        <v>42278</v>
      </c>
      <c r="C288" s="2">
        <v>17122.099999999999</v>
      </c>
    </row>
    <row r="289" spans="1:3" x14ac:dyDescent="0.25">
      <c r="A289" s="1">
        <v>42370</v>
      </c>
      <c r="C289" s="2">
        <v>17208.099999999999</v>
      </c>
    </row>
    <row r="290" spans="1:3" x14ac:dyDescent="0.25">
      <c r="A290" s="1">
        <v>42461</v>
      </c>
      <c r="C290" s="2">
        <v>17296.7</v>
      </c>
    </row>
    <row r="291" spans="1:3" x14ac:dyDescent="0.25">
      <c r="A291" s="1">
        <v>42552</v>
      </c>
      <c r="C291" s="2">
        <v>17387.599999999999</v>
      </c>
    </row>
    <row r="292" spans="1:3" x14ac:dyDescent="0.25">
      <c r="A292" s="1">
        <v>42644</v>
      </c>
      <c r="C292" s="2">
        <v>17480.5</v>
      </c>
    </row>
    <row r="293" spans="1:3" x14ac:dyDescent="0.25">
      <c r="A293" s="1">
        <v>42736</v>
      </c>
      <c r="C293" s="2">
        <v>17575</v>
      </c>
    </row>
    <row r="294" spans="1:3" x14ac:dyDescent="0.25">
      <c r="A294" s="1">
        <v>42826</v>
      </c>
      <c r="C294" s="2">
        <v>17671.7</v>
      </c>
    </row>
    <row r="295" spans="1:3" x14ac:dyDescent="0.25">
      <c r="A295" s="1">
        <v>42917</v>
      </c>
      <c r="C295" s="2">
        <v>17770</v>
      </c>
    </row>
    <row r="296" spans="1:3" x14ac:dyDescent="0.25">
      <c r="A296" s="1">
        <v>43009</v>
      </c>
      <c r="C296" s="2">
        <v>17869.8</v>
      </c>
    </row>
    <row r="297" spans="1:3" x14ac:dyDescent="0.25">
      <c r="A297" s="1">
        <v>43101</v>
      </c>
      <c r="C297" s="2">
        <v>17970.7</v>
      </c>
    </row>
    <row r="298" spans="1:3" x14ac:dyDescent="0.25">
      <c r="A298" s="1">
        <v>43191</v>
      </c>
      <c r="C298" s="2">
        <v>18073.2</v>
      </c>
    </row>
    <row r="299" spans="1:3" x14ac:dyDescent="0.25">
      <c r="A299" s="1">
        <v>43282</v>
      </c>
      <c r="C299" s="2">
        <v>18176.599999999999</v>
      </c>
    </row>
    <row r="300" spans="1:3" x14ac:dyDescent="0.25">
      <c r="A300" s="1">
        <v>43374</v>
      </c>
      <c r="C300" s="2">
        <v>18280.7</v>
      </c>
    </row>
    <row r="301" spans="1:3" x14ac:dyDescent="0.25">
      <c r="A301" s="1">
        <v>43466</v>
      </c>
      <c r="C301" s="2">
        <v>18385</v>
      </c>
    </row>
    <row r="302" spans="1:3" x14ac:dyDescent="0.25">
      <c r="A302" s="1">
        <v>43556</v>
      </c>
      <c r="C302" s="2">
        <v>18489.7</v>
      </c>
    </row>
    <row r="303" spans="1:3" x14ac:dyDescent="0.25">
      <c r="A303" s="1">
        <v>43647</v>
      </c>
      <c r="C303" s="2">
        <v>18594.599999999999</v>
      </c>
    </row>
    <row r="304" spans="1:3" x14ac:dyDescent="0.25">
      <c r="A304" s="1">
        <v>43739</v>
      </c>
      <c r="C304" s="2">
        <v>18699.5</v>
      </c>
    </row>
    <row r="305" spans="1:3" x14ac:dyDescent="0.25">
      <c r="A305" s="1">
        <v>43831</v>
      </c>
      <c r="C305" s="2">
        <v>18804.099999999999</v>
      </c>
    </row>
    <row r="306" spans="1:3" x14ac:dyDescent="0.25">
      <c r="A306" s="1">
        <v>43922</v>
      </c>
      <c r="C306" s="2">
        <v>18908.5</v>
      </c>
    </row>
    <row r="307" spans="1:3" x14ac:dyDescent="0.25">
      <c r="A307" s="1">
        <v>44013</v>
      </c>
      <c r="C307" s="2">
        <v>19012.900000000001</v>
      </c>
    </row>
    <row r="308" spans="1:3" x14ac:dyDescent="0.25">
      <c r="A308" s="1">
        <v>44105</v>
      </c>
      <c r="C308" s="2">
        <v>19117.2</v>
      </c>
    </row>
    <row r="309" spans="1:3" x14ac:dyDescent="0.25">
      <c r="A309" s="1">
        <v>44197</v>
      </c>
      <c r="C309" s="2">
        <v>19221.5</v>
      </c>
    </row>
    <row r="310" spans="1:3" x14ac:dyDescent="0.25">
      <c r="A310" s="1">
        <v>44287</v>
      </c>
      <c r="C310" s="2">
        <v>19325.900000000001</v>
      </c>
    </row>
    <row r="311" spans="1:3" x14ac:dyDescent="0.25">
      <c r="A311" s="1">
        <v>44378</v>
      </c>
      <c r="C311" s="2">
        <v>19430.2</v>
      </c>
    </row>
    <row r="312" spans="1:3" x14ac:dyDescent="0.25">
      <c r="A312" s="1">
        <v>44470</v>
      </c>
      <c r="C312" s="2">
        <v>19534.5</v>
      </c>
    </row>
    <row r="313" spans="1:3" x14ac:dyDescent="0.25">
      <c r="A313" s="1">
        <v>44562</v>
      </c>
      <c r="C313" s="2">
        <v>19638.7</v>
      </c>
    </row>
    <row r="314" spans="1:3" x14ac:dyDescent="0.25">
      <c r="A314" s="1">
        <v>44652</v>
      </c>
      <c r="C314" s="2">
        <v>19742.599999999999</v>
      </c>
    </row>
    <row r="315" spans="1:3" x14ac:dyDescent="0.25">
      <c r="A315" s="1">
        <v>44743</v>
      </c>
      <c r="C315" s="2">
        <v>19846.3</v>
      </c>
    </row>
    <row r="316" spans="1:3" x14ac:dyDescent="0.25">
      <c r="A316" s="1">
        <v>44835</v>
      </c>
      <c r="C316" s="2">
        <v>19949.8</v>
      </c>
    </row>
    <row r="317" spans="1:3" x14ac:dyDescent="0.25">
      <c r="A317" s="1">
        <v>44927</v>
      </c>
      <c r="C317" s="2">
        <v>20052.8</v>
      </c>
    </row>
    <row r="318" spans="1:3" x14ac:dyDescent="0.25">
      <c r="A318" s="1">
        <v>45017</v>
      </c>
      <c r="C318" s="2">
        <v>20155.900000000001</v>
      </c>
    </row>
    <row r="319" spans="1:3" x14ac:dyDescent="0.25">
      <c r="A319" s="1">
        <v>45108</v>
      </c>
      <c r="C319" s="2">
        <v>20258.7</v>
      </c>
    </row>
    <row r="320" spans="1:3" x14ac:dyDescent="0.25">
      <c r="A320" s="1">
        <v>45200</v>
      </c>
      <c r="C320" s="2">
        <v>20361.2</v>
      </c>
    </row>
    <row r="321" spans="1:3" x14ac:dyDescent="0.25">
      <c r="A321" s="1">
        <v>45292</v>
      </c>
      <c r="C321" s="2">
        <v>20463.400000000001</v>
      </c>
    </row>
    <row r="322" spans="1:3" x14ac:dyDescent="0.25">
      <c r="A322" s="1">
        <v>45383</v>
      </c>
      <c r="C322" s="2">
        <v>20564.099999999999</v>
      </c>
    </row>
    <row r="323" spans="1:3" x14ac:dyDescent="0.25">
      <c r="A323" s="1">
        <v>45474</v>
      </c>
      <c r="C323" s="2">
        <v>20664.5</v>
      </c>
    </row>
    <row r="324" spans="1:3" x14ac:dyDescent="0.25">
      <c r="A324" s="1">
        <v>45566</v>
      </c>
      <c r="C324" s="2">
        <v>20765.2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4"/>
  <sheetViews>
    <sheetView workbookViewId="0">
      <selection activeCell="B36" sqref="B36"/>
    </sheetView>
  </sheetViews>
  <sheetFormatPr defaultRowHeight="13.2" x14ac:dyDescent="0.25"/>
  <cols>
    <col min="1" max="1" width="10" style="3" bestFit="1" customWidth="1"/>
  </cols>
  <sheetData>
    <row r="1" spans="1:2" x14ac:dyDescent="0.25">
      <c r="A1" s="3" t="s">
        <v>9</v>
      </c>
      <c r="B1" t="s">
        <v>8</v>
      </c>
    </row>
    <row r="2" spans="1:2" x14ac:dyDescent="0.25">
      <c r="A2" s="3">
        <f>'FRED Graph'!A21</f>
        <v>17899</v>
      </c>
      <c r="B2">
        <f>'FRED Graph'!D21</f>
        <v>-1.005966763647127</v>
      </c>
    </row>
    <row r="3" spans="1:2" x14ac:dyDescent="0.25">
      <c r="A3" s="3">
        <f>'FRED Graph'!A22</f>
        <v>17989</v>
      </c>
      <c r="B3">
        <f>'FRED Graph'!D22</f>
        <v>-2.3761893144669455</v>
      </c>
    </row>
    <row r="4" spans="1:2" x14ac:dyDescent="0.25">
      <c r="A4" s="3">
        <f>'FRED Graph'!A23</f>
        <v>18080</v>
      </c>
      <c r="B4">
        <f>'FRED Graph'!D23</f>
        <v>-2.3462392584725369</v>
      </c>
    </row>
    <row r="5" spans="1:2" x14ac:dyDescent="0.25">
      <c r="A5" s="3">
        <f>'FRED Graph'!A24</f>
        <v>18172</v>
      </c>
      <c r="B5">
        <f>'FRED Graph'!D24</f>
        <v>-4.2554207660712642</v>
      </c>
    </row>
    <row r="6" spans="1:2" x14ac:dyDescent="0.25">
      <c r="A6" s="3">
        <f>'FRED Graph'!A25</f>
        <v>18264</v>
      </c>
      <c r="B6">
        <f>'FRED Graph'!D25</f>
        <v>-1.5211640211640338</v>
      </c>
    </row>
    <row r="7" spans="1:2" x14ac:dyDescent="0.25">
      <c r="A7" s="3">
        <f>'FRED Graph'!A26</f>
        <v>18354</v>
      </c>
      <c r="B7">
        <f>'FRED Graph'!D26</f>
        <v>0.31763826606874657</v>
      </c>
    </row>
    <row r="8" spans="1:2" x14ac:dyDescent="0.25">
      <c r="A8" s="3">
        <f>'FRED Graph'!A27</f>
        <v>18445</v>
      </c>
      <c r="B8">
        <f>'FRED Graph'!D27</f>
        <v>2.9922423346878548</v>
      </c>
    </row>
    <row r="9" spans="1:2" x14ac:dyDescent="0.25">
      <c r="A9" s="3">
        <f>'FRED Graph'!A28</f>
        <v>18537</v>
      </c>
      <c r="B9">
        <f>'FRED Graph'!D28</f>
        <v>3.7561042398795208</v>
      </c>
    </row>
    <row r="10" spans="1:2" x14ac:dyDescent="0.25">
      <c r="A10" s="3">
        <f>'FRED Graph'!A29</f>
        <v>18629</v>
      </c>
      <c r="B10">
        <f>'FRED Graph'!D29</f>
        <v>3.9092794661376051</v>
      </c>
    </row>
    <row r="11" spans="1:2" x14ac:dyDescent="0.25">
      <c r="A11" s="3">
        <f>'FRED Graph'!A30</f>
        <v>18719</v>
      </c>
      <c r="B11">
        <f>'FRED Graph'!D30</f>
        <v>4.408817635270541</v>
      </c>
    </row>
    <row r="12" spans="1:2" x14ac:dyDescent="0.25">
      <c r="A12" s="3">
        <f>'FRED Graph'!A31</f>
        <v>18810</v>
      </c>
      <c r="B12">
        <f>'FRED Graph'!D31</f>
        <v>5.2427867698803778</v>
      </c>
    </row>
    <row r="13" spans="1:2" x14ac:dyDescent="0.25">
      <c r="A13" s="3">
        <f>'FRED Graph'!A32</f>
        <v>18902</v>
      </c>
      <c r="B13">
        <f>'FRED Graph'!D32</f>
        <v>4.1836823355634598</v>
      </c>
    </row>
    <row r="14" spans="1:2" x14ac:dyDescent="0.25">
      <c r="A14" s="3">
        <f>'FRED Graph'!A33</f>
        <v>18994</v>
      </c>
      <c r="B14">
        <f>'FRED Graph'!D33</f>
        <v>4.0262694767566725</v>
      </c>
    </row>
    <row r="15" spans="1:2" x14ac:dyDescent="0.25">
      <c r="A15" s="3">
        <f>'FRED Graph'!A34</f>
        <v>19085</v>
      </c>
      <c r="B15">
        <f>'FRED Graph'!D34</f>
        <v>3.011664899257688</v>
      </c>
    </row>
    <row r="16" spans="1:2" x14ac:dyDescent="0.25">
      <c r="A16" s="3">
        <f>'FRED Graph'!A35</f>
        <v>19176</v>
      </c>
      <c r="B16">
        <f>'FRED Graph'!D35</f>
        <v>2.574747347674764</v>
      </c>
    </row>
    <row r="17" spans="1:2" x14ac:dyDescent="0.25">
      <c r="A17" s="3">
        <f>'FRED Graph'!A36</f>
        <v>19268</v>
      </c>
      <c r="B17">
        <f>'FRED Graph'!D36</f>
        <v>4.7733587691286816</v>
      </c>
    </row>
    <row r="18" spans="1:2" x14ac:dyDescent="0.25">
      <c r="A18" s="3">
        <f>'FRED Graph'!A37</f>
        <v>19360</v>
      </c>
      <c r="B18">
        <f>'FRED Graph'!D37</f>
        <v>5.6143806944102517</v>
      </c>
    </row>
    <row r="19" spans="1:2" x14ac:dyDescent="0.25">
      <c r="A19" s="3">
        <f>'FRED Graph'!A38</f>
        <v>19450</v>
      </c>
      <c r="B19">
        <f>'FRED Graph'!D38</f>
        <v>5.3968382980452798</v>
      </c>
    </row>
    <row r="20" spans="1:2" x14ac:dyDescent="0.25">
      <c r="A20" s="3">
        <f>'FRED Graph'!A39</f>
        <v>19541</v>
      </c>
      <c r="B20">
        <f>'FRED Graph'!D39</f>
        <v>3.824630621200531</v>
      </c>
    </row>
    <row r="21" spans="1:2" x14ac:dyDescent="0.25">
      <c r="A21" s="3">
        <f>'FRED Graph'!A40</f>
        <v>19633</v>
      </c>
      <c r="B21">
        <f>'FRED Graph'!D40</f>
        <v>1.3406751256883076</v>
      </c>
    </row>
    <row r="22" spans="1:2" x14ac:dyDescent="0.25">
      <c r="A22" s="3">
        <f>'FRED Graph'!A41</f>
        <v>19725</v>
      </c>
      <c r="B22">
        <f>'FRED Graph'!D41</f>
        <v>1.5825288811524407E-2</v>
      </c>
    </row>
    <row r="23" spans="1:2" x14ac:dyDescent="0.25">
      <c r="A23" s="3">
        <f>'FRED Graph'!A42</f>
        <v>19815</v>
      </c>
      <c r="B23">
        <f>'FRED Graph'!D42</f>
        <v>-0.6789638932496147</v>
      </c>
    </row>
    <row r="24" spans="1:2" x14ac:dyDescent="0.25">
      <c r="A24" s="3">
        <f>'FRED Graph'!A43</f>
        <v>19906</v>
      </c>
      <c r="B24">
        <f>'FRED Graph'!D43</f>
        <v>-0.33877185467854909</v>
      </c>
    </row>
    <row r="25" spans="1:2" x14ac:dyDescent="0.25">
      <c r="A25" s="3">
        <f>'FRED Graph'!A44</f>
        <v>19998</v>
      </c>
      <c r="B25">
        <f>'FRED Graph'!D44</f>
        <v>0.82302936630603496</v>
      </c>
    </row>
    <row r="26" spans="1:2" x14ac:dyDescent="0.25">
      <c r="A26" s="3">
        <f>'FRED Graph'!A45</f>
        <v>20090</v>
      </c>
      <c r="B26">
        <f>'FRED Graph'!D45</f>
        <v>2.8946056818617487</v>
      </c>
    </row>
    <row r="27" spans="1:2" x14ac:dyDescent="0.25">
      <c r="A27" s="3">
        <f>'FRED Graph'!A46</f>
        <v>20180</v>
      </c>
      <c r="B27">
        <f>'FRED Graph'!D46</f>
        <v>3.7427256475600053</v>
      </c>
    </row>
    <row r="28" spans="1:2" x14ac:dyDescent="0.25">
      <c r="A28" s="3">
        <f>'FRED Graph'!A47</f>
        <v>20271</v>
      </c>
      <c r="B28">
        <f>'FRED Graph'!D47</f>
        <v>4.2938535260159121</v>
      </c>
    </row>
    <row r="29" spans="1:2" x14ac:dyDescent="0.25">
      <c r="A29" s="3">
        <f>'FRED Graph'!A48</f>
        <v>20363</v>
      </c>
      <c r="B29">
        <f>'FRED Graph'!D48</f>
        <v>4.0757513379991801</v>
      </c>
    </row>
    <row r="30" spans="1:2" x14ac:dyDescent="0.25">
      <c r="A30" s="3">
        <f>'FRED Graph'!A49</f>
        <v>20455</v>
      </c>
      <c r="B30">
        <f>'FRED Graph'!D49</f>
        <v>2.8020040823900536</v>
      </c>
    </row>
    <row r="31" spans="1:2" x14ac:dyDescent="0.25">
      <c r="A31" s="3">
        <f>'FRED Graph'!A50</f>
        <v>20546</v>
      </c>
      <c r="B31">
        <f>'FRED Graph'!D50</f>
        <v>2.7821734810289591</v>
      </c>
    </row>
    <row r="32" spans="1:2" x14ac:dyDescent="0.25">
      <c r="A32" s="3">
        <f>'FRED Graph'!A51</f>
        <v>20637</v>
      </c>
      <c r="B32">
        <f>'FRED Graph'!D51</f>
        <v>1.8244180106546013</v>
      </c>
    </row>
    <row r="33" spans="1:2" x14ac:dyDescent="0.25">
      <c r="A33" s="3">
        <f>'FRED Graph'!A52</f>
        <v>20729</v>
      </c>
      <c r="B33">
        <f>'FRED Graph'!D52</f>
        <v>2.6010201497666547</v>
      </c>
    </row>
    <row r="34" spans="1:2" x14ac:dyDescent="0.25">
      <c r="A34" s="3">
        <f>'FRED Graph'!A53</f>
        <v>20821</v>
      </c>
      <c r="B34">
        <f>'FRED Graph'!D53</f>
        <v>2.374206505756189</v>
      </c>
    </row>
    <row r="35" spans="1:2" x14ac:dyDescent="0.25">
      <c r="A35" s="3">
        <f>'FRED Graph'!A54</f>
        <v>20911</v>
      </c>
      <c r="B35">
        <f>'FRED Graph'!D54</f>
        <v>1.2513330963384224</v>
      </c>
    </row>
    <row r="36" spans="1:2" x14ac:dyDescent="0.25">
      <c r="A36" s="3">
        <f>'FRED Graph'!A55</f>
        <v>21002</v>
      </c>
      <c r="B36">
        <f>'FRED Graph'!D55</f>
        <v>1.3318769599379932</v>
      </c>
    </row>
    <row r="37" spans="1:2" x14ac:dyDescent="0.25">
      <c r="A37" s="3">
        <f>'FRED Graph'!A56</f>
        <v>21094</v>
      </c>
      <c r="B37">
        <f>'FRED Graph'!D56</f>
        <v>-0.59369979744359858</v>
      </c>
    </row>
    <row r="38" spans="1:2" x14ac:dyDescent="0.25">
      <c r="A38" s="3">
        <f>'FRED Graph'!A57</f>
        <v>21186</v>
      </c>
      <c r="B38">
        <f>'FRED Graph'!D57</f>
        <v>-4.025614399446181</v>
      </c>
    </row>
    <row r="39" spans="1:2" x14ac:dyDescent="0.25">
      <c r="A39" s="3">
        <f>'FRED Graph'!A58</f>
        <v>21276</v>
      </c>
      <c r="B39">
        <f>'FRED Graph'!D58</f>
        <v>-4.2211469165036553</v>
      </c>
    </row>
    <row r="40" spans="1:2" x14ac:dyDescent="0.25">
      <c r="A40" s="3">
        <f>'FRED Graph'!A59</f>
        <v>21367</v>
      </c>
      <c r="B40">
        <f>'FRED Graph'!D59</f>
        <v>-2.8377964544557521</v>
      </c>
    </row>
    <row r="41" spans="1:2" x14ac:dyDescent="0.25">
      <c r="A41" s="3">
        <f>'FRED Graph'!A60</f>
        <v>21459</v>
      </c>
      <c r="B41">
        <f>'FRED Graph'!D60</f>
        <v>-1.4068825910931111</v>
      </c>
    </row>
    <row r="42" spans="1:2" x14ac:dyDescent="0.25">
      <c r="A42" s="3">
        <f>'FRED Graph'!A61</f>
        <v>21551</v>
      </c>
      <c r="B42">
        <f>'FRED Graph'!D61</f>
        <v>-0.41485446637671763</v>
      </c>
    </row>
    <row r="43" spans="1:2" x14ac:dyDescent="0.25">
      <c r="A43" s="3">
        <f>'FRED Graph'!A62</f>
        <v>21641</v>
      </c>
      <c r="B43">
        <f>'FRED Graph'!D62</f>
        <v>1.1411132488555726</v>
      </c>
    </row>
    <row r="44" spans="1:2" x14ac:dyDescent="0.25">
      <c r="A44" s="3">
        <f>'FRED Graph'!A63</f>
        <v>21732</v>
      </c>
      <c r="B44">
        <f>'FRED Graph'!D63</f>
        <v>7.2347002532139104E-2</v>
      </c>
    </row>
    <row r="45" spans="1:2" x14ac:dyDescent="0.25">
      <c r="A45" s="3">
        <f>'FRED Graph'!A64</f>
        <v>21824</v>
      </c>
      <c r="B45">
        <f>'FRED Graph'!D64</f>
        <v>-0.42371500277044422</v>
      </c>
    </row>
    <row r="46" spans="1:2" x14ac:dyDescent="0.25">
      <c r="A46" s="3">
        <f>'FRED Graph'!A65</f>
        <v>21916</v>
      </c>
      <c r="B46">
        <f>'FRED Graph'!D65</f>
        <v>0.84923633310729196</v>
      </c>
    </row>
    <row r="47" spans="1:2" x14ac:dyDescent="0.25">
      <c r="A47" s="3">
        <f>'FRED Graph'!A66</f>
        <v>22007</v>
      </c>
      <c r="B47">
        <f>'FRED Graph'!D66</f>
        <v>-0.50207866965141734</v>
      </c>
    </row>
    <row r="48" spans="1:2" x14ac:dyDescent="0.25">
      <c r="A48" s="3">
        <f>'FRED Graph'!A67</f>
        <v>22098</v>
      </c>
      <c r="B48">
        <f>'FRED Graph'!D67</f>
        <v>-1.2286646188923076</v>
      </c>
    </row>
    <row r="49" spans="1:2" x14ac:dyDescent="0.25">
      <c r="A49" s="3">
        <f>'FRED Graph'!A68</f>
        <v>22190</v>
      </c>
      <c r="B49">
        <f>'FRED Graph'!D68</f>
        <v>-3.3923812509797715</v>
      </c>
    </row>
    <row r="50" spans="1:2" x14ac:dyDescent="0.25">
      <c r="A50" s="3">
        <f>'FRED Graph'!A69</f>
        <v>22282</v>
      </c>
      <c r="B50">
        <f>'FRED Graph'!D69</f>
        <v>-3.7001396864814469</v>
      </c>
    </row>
    <row r="51" spans="1:2" x14ac:dyDescent="0.25">
      <c r="A51" s="3">
        <f>'FRED Graph'!A70</f>
        <v>22372</v>
      </c>
      <c r="B51">
        <f>'FRED Graph'!D70</f>
        <v>-2.8888410830080828</v>
      </c>
    </row>
    <row r="52" spans="1:2" x14ac:dyDescent="0.25">
      <c r="A52" s="3">
        <f>'FRED Graph'!A71</f>
        <v>22463</v>
      </c>
      <c r="B52">
        <f>'FRED Graph'!D71</f>
        <v>-2.2545410289956465</v>
      </c>
    </row>
    <row r="53" spans="1:2" x14ac:dyDescent="0.25">
      <c r="A53" s="3">
        <f>'FRED Graph'!A72</f>
        <v>22555</v>
      </c>
      <c r="B53">
        <f>'FRED Graph'!D72</f>
        <v>-1.2681486836556528</v>
      </c>
    </row>
    <row r="54" spans="1:2" x14ac:dyDescent="0.25">
      <c r="A54" s="3">
        <f>'FRED Graph'!A73</f>
        <v>22647</v>
      </c>
      <c r="B54">
        <f>'FRED Graph'!D73</f>
        <v>-0.48611732426708798</v>
      </c>
    </row>
    <row r="55" spans="1:2" x14ac:dyDescent="0.25">
      <c r="A55" s="3">
        <f>'FRED Graph'!A74</f>
        <v>22737</v>
      </c>
      <c r="B55">
        <f>'FRED Graph'!D74</f>
        <v>-0.41632219203969417</v>
      </c>
    </row>
    <row r="56" spans="1:2" x14ac:dyDescent="0.25">
      <c r="A56" s="3">
        <f>'FRED Graph'!A75</f>
        <v>22828</v>
      </c>
      <c r="B56">
        <f>'FRED Graph'!D75</f>
        <v>-0.47063638223858956</v>
      </c>
    </row>
    <row r="57" spans="1:2" x14ac:dyDescent="0.25">
      <c r="A57" s="3">
        <f>'FRED Graph'!A76</f>
        <v>22920</v>
      </c>
      <c r="B57">
        <f>'FRED Graph'!D76</f>
        <v>-1.0823638363141774</v>
      </c>
    </row>
    <row r="58" spans="1:2" x14ac:dyDescent="0.25">
      <c r="A58" s="3">
        <f>'FRED Graph'!A77</f>
        <v>23012</v>
      </c>
      <c r="B58">
        <f>'FRED Graph'!D77</f>
        <v>-0.98553215871651878</v>
      </c>
    </row>
    <row r="59" spans="1:2" x14ac:dyDescent="0.25">
      <c r="A59" s="3">
        <f>'FRED Graph'!A78</f>
        <v>23102</v>
      </c>
      <c r="B59">
        <f>'FRED Graph'!D78</f>
        <v>-0.70336651635044045</v>
      </c>
    </row>
    <row r="60" spans="1:2" x14ac:dyDescent="0.25">
      <c r="A60" s="3">
        <f>'FRED Graph'!A79</f>
        <v>23193</v>
      </c>
      <c r="B60">
        <f>'FRED Graph'!D79</f>
        <v>0.21618282890672741</v>
      </c>
    </row>
    <row r="61" spans="1:2" x14ac:dyDescent="0.25">
      <c r="A61" s="3">
        <f>'FRED Graph'!A80</f>
        <v>23285</v>
      </c>
      <c r="B61">
        <f>'FRED Graph'!D80</f>
        <v>-8.6156582640835686E-2</v>
      </c>
    </row>
    <row r="62" spans="1:2" x14ac:dyDescent="0.25">
      <c r="A62" s="3">
        <f>'FRED Graph'!A81</f>
        <v>23377</v>
      </c>
      <c r="B62">
        <f>'FRED Graph'!D81</f>
        <v>1.0454783063251438</v>
      </c>
    </row>
    <row r="63" spans="1:2" x14ac:dyDescent="0.25">
      <c r="A63" s="3">
        <f>'FRED Graph'!A82</f>
        <v>23468</v>
      </c>
      <c r="B63">
        <f>'FRED Graph'!D82</f>
        <v>1.2174197238336542</v>
      </c>
    </row>
    <row r="64" spans="1:2" x14ac:dyDescent="0.25">
      <c r="A64" s="3">
        <f>'FRED Graph'!A83</f>
        <v>23559</v>
      </c>
      <c r="B64">
        <f>'FRED Graph'!D83</f>
        <v>1.5555915022107267</v>
      </c>
    </row>
    <row r="65" spans="1:2" x14ac:dyDescent="0.25">
      <c r="A65" s="3">
        <f>'FRED Graph'!A84</f>
        <v>23651</v>
      </c>
      <c r="B65">
        <f>'FRED Graph'!D84</f>
        <v>0.8779654684706224</v>
      </c>
    </row>
    <row r="66" spans="1:2" x14ac:dyDescent="0.25">
      <c r="A66" s="3">
        <f>'FRED Graph'!A85</f>
        <v>23743</v>
      </c>
      <c r="B66">
        <f>'FRED Graph'!D85</f>
        <v>2.3057419048122174</v>
      </c>
    </row>
    <row r="67" spans="1:2" x14ac:dyDescent="0.25">
      <c r="A67" s="3">
        <f>'FRED Graph'!A86</f>
        <v>23833</v>
      </c>
      <c r="B67">
        <f>'FRED Graph'!D86</f>
        <v>2.6268329020622598</v>
      </c>
    </row>
    <row r="68" spans="1:2" x14ac:dyDescent="0.25">
      <c r="A68" s="3">
        <f>'FRED Graph'!A87</f>
        <v>23924</v>
      </c>
      <c r="B68">
        <f>'FRED Graph'!D87</f>
        <v>3.6184465768305523</v>
      </c>
    </row>
    <row r="69" spans="1:2" x14ac:dyDescent="0.25">
      <c r="A69" s="3">
        <f>'FRED Graph'!A88</f>
        <v>24016</v>
      </c>
      <c r="B69">
        <f>'FRED Graph'!D88</f>
        <v>4.9417786308381411</v>
      </c>
    </row>
    <row r="70" spans="1:2" x14ac:dyDescent="0.25">
      <c r="A70" s="3">
        <f>'FRED Graph'!A89</f>
        <v>24108</v>
      </c>
      <c r="B70">
        <f>'FRED Graph'!D89</f>
        <v>6.3852950857027064</v>
      </c>
    </row>
    <row r="71" spans="1:2" x14ac:dyDescent="0.25">
      <c r="A71" s="3">
        <f>'FRED Graph'!A90</f>
        <v>24198</v>
      </c>
      <c r="B71">
        <f>'FRED Graph'!D90</f>
        <v>5.6571170990684303</v>
      </c>
    </row>
    <row r="72" spans="1:2" x14ac:dyDescent="0.25">
      <c r="A72" s="3">
        <f>'FRED Graph'!A91</f>
        <v>24289</v>
      </c>
      <c r="B72">
        <f>'FRED Graph'!D91</f>
        <v>5.2485572040720196</v>
      </c>
    </row>
    <row r="73" spans="1:2" x14ac:dyDescent="0.25">
      <c r="A73" s="3">
        <f>'FRED Graph'!A92</f>
        <v>24381</v>
      </c>
      <c r="B73">
        <f>'FRED Graph'!D92</f>
        <v>4.987751102400793</v>
      </c>
    </row>
    <row r="74" spans="1:2" x14ac:dyDescent="0.25">
      <c r="A74" s="3">
        <f>'FRED Graph'!A93</f>
        <v>24473</v>
      </c>
      <c r="B74">
        <f>'FRED Graph'!D93</f>
        <v>4.7927115892515149</v>
      </c>
    </row>
    <row r="75" spans="1:2" x14ac:dyDescent="0.25">
      <c r="A75" s="3">
        <f>'FRED Graph'!A94</f>
        <v>24563</v>
      </c>
      <c r="B75">
        <f>'FRED Graph'!D94</f>
        <v>3.7485319847566001</v>
      </c>
    </row>
    <row r="76" spans="1:2" x14ac:dyDescent="0.25">
      <c r="A76" s="3">
        <f>'FRED Graph'!A95</f>
        <v>24654</v>
      </c>
      <c r="B76">
        <f>'FRED Graph'!D95</f>
        <v>3.5185053465158864</v>
      </c>
    </row>
    <row r="77" spans="1:2" x14ac:dyDescent="0.25">
      <c r="A77" s="3">
        <f>'FRED Graph'!A96</f>
        <v>24746</v>
      </c>
      <c r="B77">
        <f>'FRED Graph'!D96</f>
        <v>3.2394267082639261</v>
      </c>
    </row>
    <row r="78" spans="1:2" x14ac:dyDescent="0.25">
      <c r="A78" s="3">
        <f>'FRED Graph'!A97</f>
        <v>24838</v>
      </c>
      <c r="B78">
        <f>'FRED Graph'!D97</f>
        <v>4.2362062161973952</v>
      </c>
    </row>
    <row r="79" spans="1:2" x14ac:dyDescent="0.25">
      <c r="A79" s="3">
        <f>'FRED Graph'!A98</f>
        <v>24929</v>
      </c>
      <c r="B79">
        <f>'FRED Graph'!D98</f>
        <v>4.8927275233151102</v>
      </c>
    </row>
    <row r="80" spans="1:2" x14ac:dyDescent="0.25">
      <c r="A80" s="3">
        <f>'FRED Graph'!A99</f>
        <v>25020</v>
      </c>
      <c r="B80">
        <f>'FRED Graph'!D99</f>
        <v>4.5580612894425752</v>
      </c>
    </row>
    <row r="81" spans="1:2" x14ac:dyDescent="0.25">
      <c r="A81" s="3">
        <f>'FRED Graph'!A100</f>
        <v>25112</v>
      </c>
      <c r="B81">
        <f>'FRED Graph'!D100</f>
        <v>3.9535564006210437</v>
      </c>
    </row>
    <row r="82" spans="1:2" x14ac:dyDescent="0.25">
      <c r="A82" s="3">
        <f>'FRED Graph'!A101</f>
        <v>25204</v>
      </c>
      <c r="B82">
        <f>'FRED Graph'!D101</f>
        <v>4.5039426203947244</v>
      </c>
    </row>
    <row r="83" spans="1:2" x14ac:dyDescent="0.25">
      <c r="A83" s="3">
        <f>'FRED Graph'!A102</f>
        <v>25294</v>
      </c>
      <c r="B83">
        <f>'FRED Graph'!D102</f>
        <v>3.7975521005623514</v>
      </c>
    </row>
    <row r="84" spans="1:2" x14ac:dyDescent="0.25">
      <c r="A84" s="3">
        <f>'FRED Graph'!A103</f>
        <v>25385</v>
      </c>
      <c r="B84">
        <f>'FRED Graph'!D103</f>
        <v>3.4263626834381675</v>
      </c>
    </row>
    <row r="85" spans="1:2" x14ac:dyDescent="0.25">
      <c r="A85" s="3">
        <f>'FRED Graph'!A104</f>
        <v>25477</v>
      </c>
      <c r="B85">
        <f>'FRED Graph'!D104</f>
        <v>1.9920404896829251</v>
      </c>
    </row>
    <row r="86" spans="1:2" x14ac:dyDescent="0.25">
      <c r="A86" s="3">
        <f>'FRED Graph'!A105</f>
        <v>25569</v>
      </c>
      <c r="B86">
        <f>'FRED Graph'!D105</f>
        <v>0.86786954099344271</v>
      </c>
    </row>
    <row r="87" spans="1:2" x14ac:dyDescent="0.25">
      <c r="A87" s="3">
        <f>'FRED Graph'!A106</f>
        <v>25659</v>
      </c>
      <c r="B87">
        <f>'FRED Graph'!D106</f>
        <v>0.13378352551441405</v>
      </c>
    </row>
    <row r="88" spans="1:2" x14ac:dyDescent="0.25">
      <c r="A88" s="3">
        <f>'FRED Graph'!A107</f>
        <v>25750</v>
      </c>
      <c r="B88">
        <f>'FRED Graph'!D107</f>
        <v>0.13049884234897532</v>
      </c>
    </row>
    <row r="89" spans="1:2" x14ac:dyDescent="0.25">
      <c r="A89" s="3">
        <f>'FRED Graph'!A108</f>
        <v>25842</v>
      </c>
      <c r="B89">
        <f>'FRED Graph'!D108</f>
        <v>-1.7548618646189686</v>
      </c>
    </row>
    <row r="90" spans="1:2" x14ac:dyDescent="0.25">
      <c r="A90" s="3">
        <f>'FRED Graph'!A109</f>
        <v>25934</v>
      </c>
      <c r="B90">
        <f>'FRED Graph'!D109</f>
        <v>2.2759248531001489E-2</v>
      </c>
    </row>
    <row r="91" spans="1:2" x14ac:dyDescent="0.25">
      <c r="A91" s="3">
        <f>'FRED Graph'!A110</f>
        <v>26024</v>
      </c>
      <c r="B91">
        <f>'FRED Graph'!D110</f>
        <v>-0.23188048920627477</v>
      </c>
    </row>
    <row r="92" spans="1:2" x14ac:dyDescent="0.25">
      <c r="A92" s="3">
        <f>'FRED Graph'!A111</f>
        <v>26115</v>
      </c>
      <c r="B92">
        <f>'FRED Graph'!D111</f>
        <v>-0.26460411154081009</v>
      </c>
    </row>
    <row r="93" spans="1:2" x14ac:dyDescent="0.25">
      <c r="A93" s="3">
        <f>'FRED Graph'!A112</f>
        <v>26207</v>
      </c>
      <c r="B93">
        <f>'FRED Graph'!D112</f>
        <v>-0.77934139594983665</v>
      </c>
    </row>
    <row r="94" spans="1:2" x14ac:dyDescent="0.25">
      <c r="A94" s="3">
        <f>'FRED Graph'!A113</f>
        <v>26299</v>
      </c>
      <c r="B94">
        <f>'FRED Graph'!D113</f>
        <v>0.18224420723768758</v>
      </c>
    </row>
    <row r="95" spans="1:2" x14ac:dyDescent="0.25">
      <c r="A95" s="3">
        <f>'FRED Graph'!A114</f>
        <v>26390</v>
      </c>
      <c r="B95">
        <f>'FRED Graph'!D114</f>
        <v>1.6725929163107569</v>
      </c>
    </row>
    <row r="96" spans="1:2" x14ac:dyDescent="0.25">
      <c r="A96" s="3">
        <f>'FRED Graph'!A115</f>
        <v>26481</v>
      </c>
      <c r="B96">
        <f>'FRED Graph'!D115</f>
        <v>1.7692489557884636</v>
      </c>
    </row>
    <row r="97" spans="1:2" x14ac:dyDescent="0.25">
      <c r="A97" s="3">
        <f>'FRED Graph'!A116</f>
        <v>26573</v>
      </c>
      <c r="B97">
        <f>'FRED Graph'!D116</f>
        <v>2.5985698096987222</v>
      </c>
    </row>
    <row r="98" spans="1:2" x14ac:dyDescent="0.25">
      <c r="A98" s="3">
        <f>'FRED Graph'!A117</f>
        <v>26665</v>
      </c>
      <c r="B98">
        <f>'FRED Graph'!D117</f>
        <v>4.2247791724779242</v>
      </c>
    </row>
    <row r="99" spans="1:2" x14ac:dyDescent="0.25">
      <c r="A99" s="3">
        <f>'FRED Graph'!A118</f>
        <v>26755</v>
      </c>
      <c r="B99">
        <f>'FRED Graph'!D118</f>
        <v>4.4714510617056336</v>
      </c>
    </row>
    <row r="100" spans="1:2" x14ac:dyDescent="0.25">
      <c r="A100" s="3">
        <f>'FRED Graph'!A119</f>
        <v>26846</v>
      </c>
      <c r="B100">
        <f>'FRED Graph'!D119</f>
        <v>2.9661339421613326</v>
      </c>
    </row>
    <row r="101" spans="1:2" x14ac:dyDescent="0.25">
      <c r="A101" s="3">
        <f>'FRED Graph'!A120</f>
        <v>26938</v>
      </c>
      <c r="B101">
        <f>'FRED Graph'!D120</f>
        <v>2.9806006447599014</v>
      </c>
    </row>
    <row r="102" spans="1:2" x14ac:dyDescent="0.25">
      <c r="A102" s="3">
        <f>'FRED Graph'!A121</f>
        <v>27030</v>
      </c>
      <c r="B102">
        <f>'FRED Graph'!D121</f>
        <v>1.1861399084710935</v>
      </c>
    </row>
    <row r="103" spans="1:2" x14ac:dyDescent="0.25">
      <c r="A103" s="3">
        <f>'FRED Graph'!A122</f>
        <v>27120</v>
      </c>
      <c r="B103">
        <f>'FRED Graph'!D122</f>
        <v>0.51076114514129878</v>
      </c>
    </row>
    <row r="104" spans="1:2" x14ac:dyDescent="0.25">
      <c r="A104" s="3">
        <f>'FRED Graph'!A123</f>
        <v>27211</v>
      </c>
      <c r="B104">
        <f>'FRED Graph'!D123</f>
        <v>-1.3824462331090472</v>
      </c>
    </row>
    <row r="105" spans="1:2" x14ac:dyDescent="0.25">
      <c r="A105" s="3">
        <f>'FRED Graph'!A124</f>
        <v>27303</v>
      </c>
      <c r="B105">
        <f>'FRED Graph'!D124</f>
        <v>-2.6706878383779662</v>
      </c>
    </row>
    <row r="106" spans="1:2" x14ac:dyDescent="0.25">
      <c r="A106" s="3">
        <f>'FRED Graph'!A125</f>
        <v>27395</v>
      </c>
      <c r="B106">
        <f>'FRED Graph'!D125</f>
        <v>-4.6929587610300807</v>
      </c>
    </row>
    <row r="107" spans="1:2" x14ac:dyDescent="0.25">
      <c r="A107" s="3">
        <f>'FRED Graph'!A126</f>
        <v>27485</v>
      </c>
      <c r="B107">
        <f>'FRED Graph'!D126</f>
        <v>-4.7693873542488854</v>
      </c>
    </row>
    <row r="108" spans="1:2" x14ac:dyDescent="0.25">
      <c r="A108" s="3">
        <f>'FRED Graph'!A127</f>
        <v>27576</v>
      </c>
      <c r="B108">
        <f>'FRED Graph'!D127</f>
        <v>-3.9933414793957747</v>
      </c>
    </row>
    <row r="109" spans="1:2" x14ac:dyDescent="0.25">
      <c r="A109" s="3">
        <f>'FRED Graph'!A128</f>
        <v>27668</v>
      </c>
      <c r="B109">
        <f>'FRED Graph'!D128</f>
        <v>-3.4884946425434804</v>
      </c>
    </row>
    <row r="110" spans="1:2" x14ac:dyDescent="0.25">
      <c r="A110" s="3">
        <f>'FRED Graph'!A129</f>
        <v>27760</v>
      </c>
      <c r="B110">
        <f>'FRED Graph'!D129</f>
        <v>-2.0894325944514085</v>
      </c>
    </row>
    <row r="111" spans="1:2" x14ac:dyDescent="0.25">
      <c r="A111" s="3">
        <f>'FRED Graph'!A130</f>
        <v>27851</v>
      </c>
      <c r="B111">
        <f>'FRED Graph'!D130</f>
        <v>-2.1164021164021105</v>
      </c>
    </row>
    <row r="112" spans="1:2" x14ac:dyDescent="0.25">
      <c r="A112" s="3">
        <f>'FRED Graph'!A131</f>
        <v>27942</v>
      </c>
      <c r="B112">
        <f>'FRED Graph'!D131</f>
        <v>-2.384710403513588</v>
      </c>
    </row>
    <row r="113" spans="1:2" x14ac:dyDescent="0.25">
      <c r="A113" s="3">
        <f>'FRED Graph'!A132</f>
        <v>28034</v>
      </c>
      <c r="B113">
        <f>'FRED Graph'!D132</f>
        <v>-2.4305141865096282</v>
      </c>
    </row>
    <row r="114" spans="1:2" x14ac:dyDescent="0.25">
      <c r="A114" s="3">
        <f>'FRED Graph'!A133</f>
        <v>28126</v>
      </c>
      <c r="B114">
        <f>'FRED Graph'!D133</f>
        <v>-2.1066846725185719</v>
      </c>
    </row>
    <row r="115" spans="1:2" x14ac:dyDescent="0.25">
      <c r="A115" s="3">
        <f>'FRED Graph'!A134</f>
        <v>28216</v>
      </c>
      <c r="B115">
        <f>'FRED Graph'!D134</f>
        <v>-1.0360006025205382</v>
      </c>
    </row>
    <row r="116" spans="1:2" x14ac:dyDescent="0.25">
      <c r="A116" s="3">
        <f>'FRED Graph'!A135</f>
        <v>28307</v>
      </c>
      <c r="B116">
        <f>'FRED Graph'!D135</f>
        <v>-0.16259083518597195</v>
      </c>
    </row>
    <row r="117" spans="1:2" x14ac:dyDescent="0.25">
      <c r="A117" s="3">
        <f>'FRED Graph'!A136</f>
        <v>28399</v>
      </c>
      <c r="B117">
        <f>'FRED Graph'!D136</f>
        <v>-1.0424888187319217</v>
      </c>
    </row>
    <row r="118" spans="1:2" x14ac:dyDescent="0.25">
      <c r="A118" s="3">
        <f>'FRED Graph'!A137</f>
        <v>28491</v>
      </c>
      <c r="B118">
        <f>'FRED Graph'!D137</f>
        <v>-1.6064387891426957</v>
      </c>
    </row>
    <row r="119" spans="1:2" x14ac:dyDescent="0.25">
      <c r="A119" s="3">
        <f>'FRED Graph'!A138</f>
        <v>28581</v>
      </c>
      <c r="B119">
        <f>'FRED Graph'!D138</f>
        <v>1.2343686970552643</v>
      </c>
    </row>
    <row r="120" spans="1:2" x14ac:dyDescent="0.25">
      <c r="A120" s="3">
        <f>'FRED Graph'!A139</f>
        <v>28672</v>
      </c>
      <c r="B120">
        <f>'FRED Graph'!D139</f>
        <v>1.2416901048325206</v>
      </c>
    </row>
    <row r="121" spans="1:2" x14ac:dyDescent="0.25">
      <c r="A121" s="3">
        <f>'FRED Graph'!A140</f>
        <v>28764</v>
      </c>
      <c r="B121">
        <f>'FRED Graph'!D140</f>
        <v>1.6336610153393141</v>
      </c>
    </row>
    <row r="122" spans="1:2" x14ac:dyDescent="0.25">
      <c r="A122" s="3">
        <f>'FRED Graph'!A141</f>
        <v>28856</v>
      </c>
      <c r="B122">
        <f>'FRED Graph'!D141</f>
        <v>0.91455284170235751</v>
      </c>
    </row>
    <row r="123" spans="1:2" x14ac:dyDescent="0.25">
      <c r="A123" s="3">
        <f>'FRED Graph'!A142</f>
        <v>28946</v>
      </c>
      <c r="B123">
        <f>'FRED Graph'!D142</f>
        <v>0.18042680271262931</v>
      </c>
    </row>
    <row r="124" spans="1:2" x14ac:dyDescent="0.25">
      <c r="A124" s="3">
        <f>'FRED Graph'!A143</f>
        <v>29037</v>
      </c>
      <c r="B124">
        <f>'FRED Graph'!D143</f>
        <v>9.4121277580625884E-2</v>
      </c>
    </row>
    <row r="125" spans="1:2" x14ac:dyDescent="0.25">
      <c r="A125" s="3">
        <f>'FRED Graph'!A144</f>
        <v>29129</v>
      </c>
      <c r="B125">
        <f>'FRED Graph'!D144</f>
        <v>-0.39206677387243077</v>
      </c>
    </row>
    <row r="126" spans="1:2" x14ac:dyDescent="0.25">
      <c r="A126" s="3">
        <f>'FRED Graph'!A145</f>
        <v>29221</v>
      </c>
      <c r="B126">
        <f>'FRED Graph'!D145</f>
        <v>-0.72120870927986458</v>
      </c>
    </row>
    <row r="127" spans="1:2" x14ac:dyDescent="0.25">
      <c r="A127" s="3">
        <f>'FRED Graph'!A146</f>
        <v>29312</v>
      </c>
      <c r="B127">
        <f>'FRED Graph'!D146</f>
        <v>-3.274322893024658</v>
      </c>
    </row>
    <row r="128" spans="1:2" x14ac:dyDescent="0.25">
      <c r="A128" s="3">
        <f>'FRED Graph'!A147</f>
        <v>29403</v>
      </c>
      <c r="B128">
        <f>'FRED Graph'!D147</f>
        <v>-3.925523428210187</v>
      </c>
    </row>
    <row r="129" spans="1:2" x14ac:dyDescent="0.25">
      <c r="A129" s="3">
        <f>'FRED Graph'!A148</f>
        <v>29495</v>
      </c>
      <c r="B129">
        <f>'FRED Graph'!D148</f>
        <v>-2.6431256270871706</v>
      </c>
    </row>
    <row r="130" spans="1:2" x14ac:dyDescent="0.25">
      <c r="A130" s="3">
        <f>'FRED Graph'!A149</f>
        <v>29587</v>
      </c>
      <c r="B130">
        <f>'FRED Graph'!D149</f>
        <v>-1.1573867190991125</v>
      </c>
    </row>
    <row r="131" spans="1:2" x14ac:dyDescent="0.25">
      <c r="A131" s="3">
        <f>'FRED Graph'!A150</f>
        <v>29677</v>
      </c>
      <c r="B131">
        <f>'FRED Graph'!D150</f>
        <v>-2.4522797612877354</v>
      </c>
    </row>
    <row r="132" spans="1:2" x14ac:dyDescent="0.25">
      <c r="A132" s="3">
        <f>'FRED Graph'!A151</f>
        <v>29768</v>
      </c>
      <c r="B132">
        <f>'FRED Graph'!D151</f>
        <v>-1.9368606961513042</v>
      </c>
    </row>
    <row r="133" spans="1:2" x14ac:dyDescent="0.25">
      <c r="A133" s="3">
        <f>'FRED Graph'!A152</f>
        <v>29860</v>
      </c>
      <c r="B133">
        <f>'FRED Graph'!D152</f>
        <v>-3.70689907290966</v>
      </c>
    </row>
    <row r="134" spans="1:2" x14ac:dyDescent="0.25">
      <c r="A134" s="3">
        <f>'FRED Graph'!A153</f>
        <v>29952</v>
      </c>
      <c r="B134">
        <f>'FRED Graph'!D153</f>
        <v>-5.9986643825672861</v>
      </c>
    </row>
    <row r="135" spans="1:2" x14ac:dyDescent="0.25">
      <c r="A135" s="3">
        <f>'FRED Graph'!A154</f>
        <v>30042</v>
      </c>
      <c r="B135">
        <f>'FRED Graph'!D154</f>
        <v>-6.1849727642159245</v>
      </c>
    </row>
    <row r="136" spans="1:2" x14ac:dyDescent="0.25">
      <c r="A136" s="3">
        <f>'FRED Graph'!A155</f>
        <v>30133</v>
      </c>
      <c r="B136">
        <f>'FRED Graph'!D155</f>
        <v>-7.224073570846258</v>
      </c>
    </row>
    <row r="137" spans="1:2" x14ac:dyDescent="0.25">
      <c r="A137" s="3">
        <f>'FRED Graph'!A156</f>
        <v>30225</v>
      </c>
      <c r="B137">
        <f>'FRED Graph'!D156</f>
        <v>-7.8378493463727565</v>
      </c>
    </row>
    <row r="138" spans="1:2" x14ac:dyDescent="0.25">
      <c r="A138" s="3">
        <f>'FRED Graph'!A157</f>
        <v>30317</v>
      </c>
      <c r="B138">
        <f>'FRED Graph'!D157</f>
        <v>-7.308824979920808</v>
      </c>
    </row>
    <row r="139" spans="1:2" x14ac:dyDescent="0.25">
      <c r="A139" s="3">
        <f>'FRED Graph'!A158</f>
        <v>30407</v>
      </c>
      <c r="B139">
        <f>'FRED Graph'!D158</f>
        <v>-5.8794729037853584</v>
      </c>
    </row>
    <row r="140" spans="1:2" x14ac:dyDescent="0.25">
      <c r="A140" s="3">
        <f>'FRED Graph'!A159</f>
        <v>30498</v>
      </c>
      <c r="B140">
        <f>'FRED Graph'!D159</f>
        <v>-4.7354534092487155</v>
      </c>
    </row>
    <row r="141" spans="1:2" x14ac:dyDescent="0.25">
      <c r="A141" s="3">
        <f>'FRED Graph'!A160</f>
        <v>30590</v>
      </c>
      <c r="B141">
        <f>'FRED Graph'!D160</f>
        <v>-3.4874905231235784</v>
      </c>
    </row>
    <row r="142" spans="1:2" x14ac:dyDescent="0.25">
      <c r="A142" s="3">
        <f>'FRED Graph'!A161</f>
        <v>30682</v>
      </c>
      <c r="B142">
        <f>'FRED Graph'!D161</f>
        <v>-2.3147008126077293</v>
      </c>
    </row>
    <row r="143" spans="1:2" x14ac:dyDescent="0.25">
      <c r="A143" s="3">
        <f>'FRED Graph'!A162</f>
        <v>30773</v>
      </c>
      <c r="B143">
        <f>'FRED Graph'!D162</f>
        <v>-1.3723174654884602</v>
      </c>
    </row>
    <row r="144" spans="1:2" x14ac:dyDescent="0.25">
      <c r="A144" s="3">
        <f>'FRED Graph'!A163</f>
        <v>30864</v>
      </c>
      <c r="B144">
        <f>'FRED Graph'!D163</f>
        <v>-1.1890974709795601</v>
      </c>
    </row>
    <row r="145" spans="1:2" x14ac:dyDescent="0.25">
      <c r="A145" s="3">
        <f>'FRED Graph'!A164</f>
        <v>30956</v>
      </c>
      <c r="B145">
        <f>'FRED Graph'!D164</f>
        <v>-1.2035639384993568</v>
      </c>
    </row>
    <row r="146" spans="1:2" x14ac:dyDescent="0.25">
      <c r="A146" s="3">
        <f>'FRED Graph'!A165</f>
        <v>31048</v>
      </c>
      <c r="B146">
        <f>'FRED Graph'!D165</f>
        <v>-1.0452546234963653</v>
      </c>
    </row>
    <row r="147" spans="1:2" x14ac:dyDescent="0.25">
      <c r="A147" s="3">
        <f>'FRED Graph'!A166</f>
        <v>31138</v>
      </c>
      <c r="B147">
        <f>'FRED Graph'!D166</f>
        <v>-0.97996715927750888</v>
      </c>
    </row>
    <row r="148" spans="1:2" x14ac:dyDescent="0.25">
      <c r="A148" s="3">
        <f>'FRED Graph'!A167</f>
        <v>31229</v>
      </c>
      <c r="B148">
        <f>'FRED Graph'!D167</f>
        <v>-0.29305651432069502</v>
      </c>
    </row>
    <row r="149" spans="1:2" x14ac:dyDescent="0.25">
      <c r="A149" s="3">
        <f>'FRED Graph'!A168</f>
        <v>31321</v>
      </c>
      <c r="B149">
        <f>'FRED Graph'!D168</f>
        <v>-0.40290296753531624</v>
      </c>
    </row>
    <row r="150" spans="1:2" x14ac:dyDescent="0.25">
      <c r="A150" s="3">
        <f>'FRED Graph'!A169</f>
        <v>31413</v>
      </c>
      <c r="B150">
        <f>'FRED Graph'!D169</f>
        <v>-0.33290226757659952</v>
      </c>
    </row>
    <row r="151" spans="1:2" x14ac:dyDescent="0.25">
      <c r="A151" s="3">
        <f>'FRED Graph'!A170</f>
        <v>31503</v>
      </c>
      <c r="B151">
        <f>'FRED Graph'!D170</f>
        <v>-0.72364411943936624</v>
      </c>
    </row>
    <row r="152" spans="1:2" x14ac:dyDescent="0.25">
      <c r="A152" s="3">
        <f>'FRED Graph'!A171</f>
        <v>31594</v>
      </c>
      <c r="B152">
        <f>'FRED Graph'!D171</f>
        <v>-0.56774550901971943</v>
      </c>
    </row>
    <row r="153" spans="1:2" x14ac:dyDescent="0.25">
      <c r="A153" s="3">
        <f>'FRED Graph'!A172</f>
        <v>31686</v>
      </c>
      <c r="B153">
        <f>'FRED Graph'!D172</f>
        <v>-0.88757396449704595</v>
      </c>
    </row>
    <row r="154" spans="1:2" x14ac:dyDescent="0.25">
      <c r="A154" s="3">
        <f>'FRED Graph'!A173</f>
        <v>31778</v>
      </c>
      <c r="B154">
        <f>'FRED Graph'!D173</f>
        <v>-1.0127773375594318</v>
      </c>
    </row>
    <row r="155" spans="1:2" x14ac:dyDescent="0.25">
      <c r="A155" s="3">
        <f>'FRED Graph'!A174</f>
        <v>31868</v>
      </c>
      <c r="B155">
        <f>'FRED Graph'!D174</f>
        <v>-0.71107508658168816</v>
      </c>
    </row>
    <row r="156" spans="1:2" x14ac:dyDescent="0.25">
      <c r="A156" s="3">
        <f>'FRED Graph'!A175</f>
        <v>31959</v>
      </c>
      <c r="B156">
        <f>'FRED Graph'!D175</f>
        <v>-0.61158353841281554</v>
      </c>
    </row>
    <row r="157" spans="1:2" x14ac:dyDescent="0.25">
      <c r="A157" s="3">
        <f>'FRED Graph'!A176</f>
        <v>32051</v>
      </c>
      <c r="B157">
        <f>'FRED Graph'!D176</f>
        <v>0.22964332765268258</v>
      </c>
    </row>
    <row r="158" spans="1:2" x14ac:dyDescent="0.25">
      <c r="A158" s="3">
        <f>'FRED Graph'!A177</f>
        <v>32143</v>
      </c>
      <c r="B158">
        <f>'FRED Graph'!D177</f>
        <v>5.9960665803233081E-3</v>
      </c>
    </row>
    <row r="159" spans="1:2" x14ac:dyDescent="0.25">
      <c r="A159" s="3">
        <f>'FRED Graph'!A178</f>
        <v>32234</v>
      </c>
      <c r="B159">
        <f>'FRED Graph'!D178</f>
        <v>0.54140885292717755</v>
      </c>
    </row>
    <row r="160" spans="1:2" x14ac:dyDescent="0.25">
      <c r="A160" s="3">
        <f>'FRED Graph'!A179</f>
        <v>32325</v>
      </c>
      <c r="B160">
        <f>'FRED Graph'!D179</f>
        <v>0.34478279864447114</v>
      </c>
    </row>
    <row r="161" spans="1:2" x14ac:dyDescent="0.25">
      <c r="A161" s="3">
        <f>'FRED Graph'!A180</f>
        <v>32417</v>
      </c>
      <c r="B161">
        <f>'FRED Graph'!D180</f>
        <v>0.89873684703895984</v>
      </c>
    </row>
    <row r="162" spans="1:2" x14ac:dyDescent="0.25">
      <c r="A162" s="3">
        <f>'FRED Graph'!A181</f>
        <v>32509</v>
      </c>
      <c r="B162">
        <f>'FRED Graph'!D181</f>
        <v>1.1395746363245229</v>
      </c>
    </row>
    <row r="163" spans="1:2" x14ac:dyDescent="0.25">
      <c r="A163" s="3">
        <f>'FRED Graph'!A182</f>
        <v>32599</v>
      </c>
      <c r="B163">
        <f>'FRED Graph'!D182</f>
        <v>1.1620929212731177</v>
      </c>
    </row>
    <row r="164" spans="1:2" x14ac:dyDescent="0.25">
      <c r="A164" s="3">
        <f>'FRED Graph'!A183</f>
        <v>32690</v>
      </c>
      <c r="B164">
        <f>'FRED Graph'!D183</f>
        <v>1.1487538940809885</v>
      </c>
    </row>
    <row r="165" spans="1:2" x14ac:dyDescent="0.25">
      <c r="A165" s="3">
        <f>'FRED Graph'!A184</f>
        <v>32782</v>
      </c>
      <c r="B165">
        <f>'FRED Graph'!D184</f>
        <v>0.60360800718418983</v>
      </c>
    </row>
    <row r="166" spans="1:2" x14ac:dyDescent="0.25">
      <c r="A166" s="3">
        <f>'FRED Graph'!A185</f>
        <v>32874</v>
      </c>
      <c r="B166">
        <f>'FRED Graph'!D185</f>
        <v>0.94888863815864122</v>
      </c>
    </row>
    <row r="167" spans="1:2" x14ac:dyDescent="0.25">
      <c r="A167" s="3">
        <f>'FRED Graph'!A186</f>
        <v>32964</v>
      </c>
      <c r="B167">
        <f>'FRED Graph'!D186</f>
        <v>0.59021166983985585</v>
      </c>
    </row>
    <row r="168" spans="1:2" x14ac:dyDescent="0.25">
      <c r="A168" s="3">
        <f>'FRED Graph'!A187</f>
        <v>33055</v>
      </c>
      <c r="B168">
        <f>'FRED Graph'!D187</f>
        <v>-0.12118112687330054</v>
      </c>
    </row>
    <row r="169" spans="1:2" x14ac:dyDescent="0.25">
      <c r="A169" s="3">
        <f>'FRED Graph'!A188</f>
        <v>33147</v>
      </c>
      <c r="B169">
        <f>'FRED Graph'!D188</f>
        <v>-1.6875820888933</v>
      </c>
    </row>
    <row r="170" spans="1:2" x14ac:dyDescent="0.25">
      <c r="A170" s="3">
        <f>'FRED Graph'!A189</f>
        <v>33239</v>
      </c>
      <c r="B170">
        <f>'FRED Graph'!D189</f>
        <v>-2.8469984877375158</v>
      </c>
    </row>
    <row r="171" spans="1:2" x14ac:dyDescent="0.25">
      <c r="A171" s="3">
        <f>'FRED Graph'!A190</f>
        <v>33329</v>
      </c>
      <c r="B171">
        <f>'FRED Graph'!D190</f>
        <v>-2.7749363396957367</v>
      </c>
    </row>
    <row r="172" spans="1:2" x14ac:dyDescent="0.25">
      <c r="A172" s="3">
        <f>'FRED Graph'!A191</f>
        <v>33420</v>
      </c>
      <c r="B172">
        <f>'FRED Graph'!D191</f>
        <v>-2.9806227102268545</v>
      </c>
    </row>
    <row r="173" spans="1:2" x14ac:dyDescent="0.25">
      <c r="A173" s="3">
        <f>'FRED Graph'!A192</f>
        <v>33512</v>
      </c>
      <c r="B173">
        <f>'FRED Graph'!D192</f>
        <v>-3.226360416443065</v>
      </c>
    </row>
    <row r="174" spans="1:2" x14ac:dyDescent="0.25">
      <c r="A174" s="3">
        <f>'FRED Graph'!A193</f>
        <v>33604</v>
      </c>
      <c r="B174">
        <f>'FRED Graph'!D193</f>
        <v>-2.7512765027555441</v>
      </c>
    </row>
    <row r="175" spans="1:2" x14ac:dyDescent="0.25">
      <c r="A175" s="3">
        <f>'FRED Graph'!A194</f>
        <v>33695</v>
      </c>
      <c r="B175">
        <f>'FRED Graph'!D194</f>
        <v>-2.3585954288980795</v>
      </c>
    </row>
    <row r="176" spans="1:2" x14ac:dyDescent="0.25">
      <c r="A176" s="3">
        <f>'FRED Graph'!A195</f>
        <v>33786</v>
      </c>
      <c r="B176">
        <f>'FRED Graph'!D195</f>
        <v>-2.0920502092050208</v>
      </c>
    </row>
    <row r="177" spans="1:2" x14ac:dyDescent="0.25">
      <c r="A177" s="3">
        <f>'FRED Graph'!A196</f>
        <v>33878</v>
      </c>
      <c r="B177">
        <f>'FRED Graph'!D196</f>
        <v>-1.8028645398363197</v>
      </c>
    </row>
    <row r="178" spans="1:2" x14ac:dyDescent="0.25">
      <c r="A178" s="3">
        <f>'FRED Graph'!A197</f>
        <v>33970</v>
      </c>
      <c r="B178">
        <f>'FRED Graph'!D197</f>
        <v>-2.3217006457229918</v>
      </c>
    </row>
    <row r="179" spans="1:2" x14ac:dyDescent="0.25">
      <c r="A179" s="3">
        <f>'FRED Graph'!A198</f>
        <v>34060</v>
      </c>
      <c r="B179">
        <f>'FRED Graph'!D198</f>
        <v>-2.446026878511586</v>
      </c>
    </row>
    <row r="180" spans="1:2" x14ac:dyDescent="0.25">
      <c r="A180" s="3">
        <f>'FRED Graph'!A199</f>
        <v>34151</v>
      </c>
      <c r="B180">
        <f>'FRED Graph'!D199</f>
        <v>-2.678653521990098</v>
      </c>
    </row>
    <row r="181" spans="1:2" x14ac:dyDescent="0.25">
      <c r="A181" s="3">
        <f>'FRED Graph'!A200</f>
        <v>34243</v>
      </c>
      <c r="B181">
        <f>'FRED Graph'!D200</f>
        <v>-2.0943204868154162</v>
      </c>
    </row>
    <row r="182" spans="1:2" x14ac:dyDescent="0.25">
      <c r="A182" s="3">
        <f>'FRED Graph'!A201</f>
        <v>34335</v>
      </c>
      <c r="B182">
        <f>'FRED Graph'!D201</f>
        <v>-1.8486075031716158</v>
      </c>
    </row>
    <row r="183" spans="1:2" x14ac:dyDescent="0.25">
      <c r="A183" s="3">
        <f>'FRED Graph'!A202</f>
        <v>34425</v>
      </c>
      <c r="B183">
        <f>'FRED Graph'!D202</f>
        <v>-1.2264971361741757</v>
      </c>
    </row>
    <row r="184" spans="1:2" x14ac:dyDescent="0.25">
      <c r="A184" s="3">
        <f>'FRED Graph'!A203</f>
        <v>34516</v>
      </c>
      <c r="B184">
        <f>'FRED Graph'!D203</f>
        <v>-1.3644663200095264</v>
      </c>
    </row>
    <row r="185" spans="1:2" x14ac:dyDescent="0.25">
      <c r="A185" s="3">
        <f>'FRED Graph'!A204</f>
        <v>34608</v>
      </c>
      <c r="B185">
        <f>'FRED Graph'!D204</f>
        <v>-0.97522533615721807</v>
      </c>
    </row>
    <row r="186" spans="1:2" x14ac:dyDescent="0.25">
      <c r="A186" s="3">
        <f>'FRED Graph'!A205</f>
        <v>34700</v>
      </c>
      <c r="B186">
        <f>'FRED Graph'!D205</f>
        <v>-1.3699031974186013</v>
      </c>
    </row>
    <row r="187" spans="1:2" x14ac:dyDescent="0.25">
      <c r="A187" s="3">
        <f>'FRED Graph'!A206</f>
        <v>34790</v>
      </c>
      <c r="B187">
        <f>'FRED Graph'!D206</f>
        <v>-1.7662872060636059</v>
      </c>
    </row>
    <row r="188" spans="1:2" x14ac:dyDescent="0.25">
      <c r="A188" s="3">
        <f>'FRED Graph'!A207</f>
        <v>34881</v>
      </c>
      <c r="B188">
        <f>'FRED Graph'!D207</f>
        <v>-1.673954500799425</v>
      </c>
    </row>
    <row r="189" spans="1:2" x14ac:dyDescent="0.25">
      <c r="A189" s="3">
        <f>'FRED Graph'!A208</f>
        <v>34973</v>
      </c>
      <c r="B189">
        <f>'FRED Graph'!D208</f>
        <v>-1.7337946590713553</v>
      </c>
    </row>
    <row r="190" spans="1:2" x14ac:dyDescent="0.25">
      <c r="A190" s="3">
        <f>'FRED Graph'!A209</f>
        <v>35065</v>
      </c>
      <c r="B190">
        <f>'FRED Graph'!D209</f>
        <v>-1.8550306800830645</v>
      </c>
    </row>
    <row r="191" spans="1:2" x14ac:dyDescent="0.25">
      <c r="A191" s="3">
        <f>'FRED Graph'!A210</f>
        <v>35156</v>
      </c>
      <c r="B191">
        <f>'FRED Graph'!D210</f>
        <v>-0.92121234932673068</v>
      </c>
    </row>
    <row r="192" spans="1:2" x14ac:dyDescent="0.25">
      <c r="A192" s="3">
        <f>'FRED Graph'!A211</f>
        <v>35247</v>
      </c>
      <c r="B192">
        <f>'FRED Graph'!D211</f>
        <v>-0.79259127869527202</v>
      </c>
    </row>
    <row r="193" spans="1:2" x14ac:dyDescent="0.25">
      <c r="A193" s="3">
        <f>'FRED Graph'!A212</f>
        <v>35339</v>
      </c>
      <c r="B193">
        <f>'FRED Graph'!D212</f>
        <v>-0.54178706379195374</v>
      </c>
    </row>
    <row r="194" spans="1:2" x14ac:dyDescent="0.25">
      <c r="A194" s="3">
        <f>'FRED Graph'!A213</f>
        <v>35431</v>
      </c>
      <c r="B194">
        <f>'FRED Graph'!D213</f>
        <v>-0.58705718065558987</v>
      </c>
    </row>
    <row r="195" spans="1:2" x14ac:dyDescent="0.25">
      <c r="A195" s="3">
        <f>'FRED Graph'!A214</f>
        <v>35521</v>
      </c>
      <c r="B195">
        <f>'FRED Graph'!D214</f>
        <v>9.7507632022606539E-2</v>
      </c>
    </row>
    <row r="196" spans="1:2" x14ac:dyDescent="0.25">
      <c r="A196" s="3">
        <f>'FRED Graph'!A215</f>
        <v>35612</v>
      </c>
      <c r="B196">
        <f>'FRED Graph'!D215</f>
        <v>0.54411684954537076</v>
      </c>
    </row>
    <row r="197" spans="1:2" x14ac:dyDescent="0.25">
      <c r="A197" s="3">
        <f>'FRED Graph'!A216</f>
        <v>35704</v>
      </c>
      <c r="B197">
        <f>'FRED Graph'!D216</f>
        <v>0.48763434595146643</v>
      </c>
    </row>
    <row r="198" spans="1:2" x14ac:dyDescent="0.25">
      <c r="A198" s="3">
        <f>'FRED Graph'!A217</f>
        <v>35796</v>
      </c>
      <c r="B198">
        <f>'FRED Graph'!D217</f>
        <v>0.63378341140811112</v>
      </c>
    </row>
    <row r="199" spans="1:2" x14ac:dyDescent="0.25">
      <c r="A199" s="3">
        <f>'FRED Graph'!A218</f>
        <v>35886</v>
      </c>
      <c r="B199">
        <f>'FRED Graph'!D218</f>
        <v>0.74738679029101607</v>
      </c>
    </row>
    <row r="200" spans="1:2" x14ac:dyDescent="0.25">
      <c r="A200" s="3">
        <f>'FRED Graph'!A219</f>
        <v>35977</v>
      </c>
      <c r="B200">
        <f>'FRED Graph'!D219</f>
        <v>1.1927543450336855</v>
      </c>
    </row>
    <row r="201" spans="1:2" x14ac:dyDescent="0.25">
      <c r="A201" s="3">
        <f>'FRED Graph'!A220</f>
        <v>36069</v>
      </c>
      <c r="B201">
        <f>'FRED Graph'!D220</f>
        <v>1.9664405693148641</v>
      </c>
    </row>
    <row r="202" spans="1:2" x14ac:dyDescent="0.25">
      <c r="A202" s="3">
        <f>'FRED Graph'!A221</f>
        <v>36161</v>
      </c>
      <c r="B202">
        <f>'FRED Graph'!D221</f>
        <v>1.8875215759688886</v>
      </c>
    </row>
    <row r="203" spans="1:2" x14ac:dyDescent="0.25">
      <c r="A203" s="3">
        <f>'FRED Graph'!A222</f>
        <v>36251</v>
      </c>
      <c r="B203">
        <f>'FRED Graph'!D222</f>
        <v>1.8345109389631395</v>
      </c>
    </row>
    <row r="204" spans="1:2" x14ac:dyDescent="0.25">
      <c r="A204" s="3">
        <f>'FRED Graph'!A223</f>
        <v>36342</v>
      </c>
      <c r="B204">
        <f>'FRED Graph'!D223</f>
        <v>2.2150777175839198</v>
      </c>
    </row>
    <row r="205" spans="1:2" x14ac:dyDescent="0.25">
      <c r="A205" s="3">
        <f>'FRED Graph'!A224</f>
        <v>36434</v>
      </c>
      <c r="B205">
        <f>'FRED Graph'!D224</f>
        <v>3.0746840419214143</v>
      </c>
    </row>
    <row r="206" spans="1:2" x14ac:dyDescent="0.25">
      <c r="A206" s="3">
        <f>'FRED Graph'!A225</f>
        <v>36526</v>
      </c>
      <c r="B206">
        <f>'FRED Graph'!D225</f>
        <v>2.4631072790582023</v>
      </c>
    </row>
    <row r="207" spans="1:2" x14ac:dyDescent="0.25">
      <c r="A207" s="3">
        <f>'FRED Graph'!A226</f>
        <v>36617</v>
      </c>
      <c r="B207">
        <f>'FRED Graph'!D226</f>
        <v>3.4614499802813135</v>
      </c>
    </row>
    <row r="208" spans="1:2" x14ac:dyDescent="0.25">
      <c r="A208" s="3">
        <f>'FRED Graph'!A227</f>
        <v>36708</v>
      </c>
      <c r="B208">
        <f>'FRED Graph'!D227</f>
        <v>2.6535198423683943</v>
      </c>
    </row>
    <row r="209" spans="1:2" x14ac:dyDescent="0.25">
      <c r="A209" s="3">
        <f>'FRED Graph'!A228</f>
        <v>36800</v>
      </c>
      <c r="B209">
        <f>'FRED Graph'!D228</f>
        <v>2.3068730130553332</v>
      </c>
    </row>
    <row r="210" spans="1:2" x14ac:dyDescent="0.25">
      <c r="A210" s="3">
        <f>'FRED Graph'!A229</f>
        <v>36892</v>
      </c>
      <c r="B210">
        <f>'FRED Graph'!D229</f>
        <v>1.0986814223686392</v>
      </c>
    </row>
    <row r="211" spans="1:2" x14ac:dyDescent="0.25">
      <c r="A211" s="3">
        <f>'FRED Graph'!A230</f>
        <v>36982</v>
      </c>
      <c r="B211">
        <f>'FRED Graph'!D230</f>
        <v>0.72909979949755521</v>
      </c>
    </row>
    <row r="212" spans="1:2" x14ac:dyDescent="0.25">
      <c r="A212" s="3">
        <f>'FRED Graph'!A231</f>
        <v>37073</v>
      </c>
      <c r="B212">
        <f>'FRED Graph'!D231</f>
        <v>-0.47366932696536851</v>
      </c>
    </row>
    <row r="213" spans="1:2" x14ac:dyDescent="0.25">
      <c r="A213" s="3">
        <f>'FRED Graph'!A232</f>
        <v>37165</v>
      </c>
      <c r="B213">
        <f>'FRED Graph'!D232</f>
        <v>-1.0621646666718694</v>
      </c>
    </row>
    <row r="214" spans="1:2" x14ac:dyDescent="0.25">
      <c r="A214" s="3">
        <f>'FRED Graph'!A233</f>
        <v>37257</v>
      </c>
      <c r="B214">
        <f>'FRED Graph'!D233</f>
        <v>-0.98992316898961985</v>
      </c>
    </row>
    <row r="215" spans="1:2" x14ac:dyDescent="0.25">
      <c r="A215" s="3">
        <f>'FRED Graph'!A234</f>
        <v>37347</v>
      </c>
      <c r="B215">
        <f>'FRED Graph'!D234</f>
        <v>-1.2764458601652466</v>
      </c>
    </row>
    <row r="216" spans="1:2" x14ac:dyDescent="0.25">
      <c r="A216" s="3">
        <f>'FRED Graph'!A235</f>
        <v>37438</v>
      </c>
      <c r="B216">
        <f>'FRED Graph'!D235</f>
        <v>-1.6055045871559741</v>
      </c>
    </row>
    <row r="217" spans="1:2" x14ac:dyDescent="0.25">
      <c r="A217" s="3">
        <f>'FRED Graph'!A236</f>
        <v>37530</v>
      </c>
      <c r="B217">
        <f>'FRED Graph'!D236</f>
        <v>-2.3258266969041772</v>
      </c>
    </row>
    <row r="218" spans="1:2" x14ac:dyDescent="0.25">
      <c r="A218" s="3">
        <f>'FRED Graph'!A237</f>
        <v>37622</v>
      </c>
      <c r="B218">
        <f>'FRED Graph'!D237</f>
        <v>-2.5755661385946156</v>
      </c>
    </row>
    <row r="219" spans="1:2" x14ac:dyDescent="0.25">
      <c r="A219" s="3">
        <f>'FRED Graph'!A238</f>
        <v>37712</v>
      </c>
      <c r="B219">
        <f>'FRED Graph'!D238</f>
        <v>-2.3904944263852421</v>
      </c>
    </row>
    <row r="220" spans="1:2" x14ac:dyDescent="0.25">
      <c r="A220" s="3">
        <f>'FRED Graph'!A239</f>
        <v>37803</v>
      </c>
      <c r="B220">
        <f>'FRED Graph'!D239</f>
        <v>-1.4532484376842407</v>
      </c>
    </row>
    <row r="221" spans="1:2" x14ac:dyDescent="0.25">
      <c r="A221" s="3">
        <f>'FRED Graph'!A240</f>
        <v>37895</v>
      </c>
      <c r="B221">
        <f>'FRED Graph'!D240</f>
        <v>-0.97424936684769614</v>
      </c>
    </row>
    <row r="222" spans="1:2" x14ac:dyDescent="0.25">
      <c r="A222" s="3">
        <f>'FRED Graph'!A241</f>
        <v>37987</v>
      </c>
      <c r="B222">
        <f>'FRED Graph'!D241</f>
        <v>-1.0385983286421803</v>
      </c>
    </row>
    <row r="223" spans="1:2" x14ac:dyDescent="0.25">
      <c r="A223" s="3">
        <f>'FRED Graph'!A242</f>
        <v>38078</v>
      </c>
      <c r="B223">
        <f>'FRED Graph'!D242</f>
        <v>-0.92166231738435833</v>
      </c>
    </row>
    <row r="224" spans="1:2" x14ac:dyDescent="0.25">
      <c r="A224" s="3">
        <f>'FRED Graph'!A243</f>
        <v>38169</v>
      </c>
      <c r="B224">
        <f>'FRED Graph'!D243</f>
        <v>-0.61295909054980269</v>
      </c>
    </row>
    <row r="225" spans="1:2" x14ac:dyDescent="0.25">
      <c r="A225" s="3">
        <f>'FRED Graph'!A244</f>
        <v>38261</v>
      </c>
      <c r="B225">
        <f>'FRED Graph'!D244</f>
        <v>-0.33648865868905425</v>
      </c>
    </row>
    <row r="226" spans="1:2" x14ac:dyDescent="0.25">
      <c r="A226" s="3">
        <f>'FRED Graph'!A245</f>
        <v>38353</v>
      </c>
      <c r="B226">
        <f>'FRED Graph'!D245</f>
        <v>0.13565340909091167</v>
      </c>
    </row>
    <row r="227" spans="1:2" x14ac:dyDescent="0.25">
      <c r="A227" s="3">
        <f>'FRED Graph'!A246</f>
        <v>38443</v>
      </c>
      <c r="B227">
        <f>'FRED Graph'!D246</f>
        <v>7.4141023287342359E-2</v>
      </c>
    </row>
    <row r="228" spans="1:2" x14ac:dyDescent="0.25">
      <c r="A228" s="3">
        <f>'FRED Graph'!A247</f>
        <v>38534</v>
      </c>
      <c r="B228">
        <f>'FRED Graph'!D247</f>
        <v>0.33135363576372034</v>
      </c>
    </row>
    <row r="229" spans="1:2" x14ac:dyDescent="0.25">
      <c r="A229" s="3">
        <f>'FRED Graph'!A248</f>
        <v>38626</v>
      </c>
      <c r="B229">
        <f>'FRED Graph'!D248</f>
        <v>0.32036293840516233</v>
      </c>
    </row>
    <row r="230" spans="1:2" x14ac:dyDescent="0.25">
      <c r="A230" s="3">
        <f>'FRED Graph'!A249</f>
        <v>38718</v>
      </c>
      <c r="B230">
        <f>'FRED Graph'!D249</f>
        <v>0.93257561564561875</v>
      </c>
    </row>
    <row r="231" spans="1:2" x14ac:dyDescent="0.25">
      <c r="A231" s="3">
        <f>'FRED Graph'!A250</f>
        <v>38808</v>
      </c>
      <c r="B231">
        <f>'FRED Graph'!D250</f>
        <v>0.63805864621200103</v>
      </c>
    </row>
    <row r="232" spans="1:2" x14ac:dyDescent="0.25">
      <c r="A232" s="3">
        <f>'FRED Graph'!A251</f>
        <v>38899</v>
      </c>
      <c r="B232">
        <f>'FRED Graph'!D251</f>
        <v>0.13302978770091362</v>
      </c>
    </row>
    <row r="233" spans="1:2" x14ac:dyDescent="0.25">
      <c r="A233" s="3">
        <f>'FRED Graph'!A252</f>
        <v>38991</v>
      </c>
      <c r="B233">
        <f>'FRED Graph'!D252</f>
        <v>0.32106777188509977</v>
      </c>
    </row>
    <row r="234" spans="1:2" x14ac:dyDescent="0.25">
      <c r="A234" s="3">
        <f>'FRED Graph'!A253</f>
        <v>39083</v>
      </c>
      <c r="B234">
        <f>'FRED Graph'!D253</f>
        <v>-0.21006979738429221</v>
      </c>
    </row>
    <row r="235" spans="1:2" x14ac:dyDescent="0.25">
      <c r="A235" s="3">
        <f>'FRED Graph'!A254</f>
        <v>39173</v>
      </c>
      <c r="B235">
        <f>'FRED Graph'!D254</f>
        <v>-5.1191205889673158E-2</v>
      </c>
    </row>
    <row r="236" spans="1:2" x14ac:dyDescent="0.25">
      <c r="A236" s="3">
        <f>'FRED Graph'!A255</f>
        <v>39264</v>
      </c>
      <c r="B236">
        <f>'FRED Graph'!D255</f>
        <v>2.3434884499497825E-2</v>
      </c>
    </row>
    <row r="237" spans="1:2" x14ac:dyDescent="0.25">
      <c r="A237" s="3">
        <f>'FRED Graph'!A256</f>
        <v>39356</v>
      </c>
      <c r="B237">
        <f>'FRED Graph'!D256</f>
        <v>-0.20303149318013888</v>
      </c>
    </row>
    <row r="238" spans="1:2" x14ac:dyDescent="0.25">
      <c r="A238" s="3">
        <f>'FRED Graph'!A257</f>
        <v>39448</v>
      </c>
      <c r="B238">
        <f>'FRED Graph'!D257</f>
        <v>-1.4397299265241279</v>
      </c>
    </row>
    <row r="239" spans="1:2" x14ac:dyDescent="0.25">
      <c r="A239" s="3">
        <f>'FRED Graph'!A258</f>
        <v>39539</v>
      </c>
      <c r="B239">
        <f>'FRED Graph'!D258</f>
        <v>-1.4833395879831788</v>
      </c>
    </row>
    <row r="240" spans="1:2" x14ac:dyDescent="0.25">
      <c r="A240" s="3">
        <f>'FRED Graph'!A259</f>
        <v>39630</v>
      </c>
      <c r="B240">
        <f>'FRED Graph'!D259</f>
        <v>-2.4582593715816525</v>
      </c>
    </row>
    <row r="241" spans="1:2" x14ac:dyDescent="0.25">
      <c r="A241" s="3">
        <f>'FRED Graph'!A260</f>
        <v>39722</v>
      </c>
      <c r="B241">
        <f>'FRED Graph'!D260</f>
        <v>-4.9788798498122606</v>
      </c>
    </row>
    <row r="242" spans="1:2" x14ac:dyDescent="0.25">
      <c r="A242" s="3">
        <f>'FRED Graph'!A261</f>
        <v>39814</v>
      </c>
      <c r="B242">
        <f>'FRED Graph'!D261</f>
        <v>-6.7061259191474685</v>
      </c>
    </row>
    <row r="243" spans="1:2" x14ac:dyDescent="0.25">
      <c r="A243" s="3">
        <f>'FRED Graph'!A262</f>
        <v>39904</v>
      </c>
      <c r="B243">
        <f>'FRED Graph'!D262</f>
        <v>-7.1964211832850582</v>
      </c>
    </row>
    <row r="244" spans="1:2" x14ac:dyDescent="0.25">
      <c r="A244" s="3">
        <f>'FRED Graph'!A263</f>
        <v>39995</v>
      </c>
      <c r="B244">
        <f>'FRED Graph'!D263</f>
        <v>-7.2326638927177376</v>
      </c>
    </row>
    <row r="245" spans="1:2" x14ac:dyDescent="0.25">
      <c r="A245" s="3">
        <f>'FRED Graph'!A264</f>
        <v>40087</v>
      </c>
      <c r="B245">
        <f>'FRED Graph'!D264</f>
        <v>-6.6576374758490582</v>
      </c>
    </row>
    <row r="246" spans="1:2" x14ac:dyDescent="0.25">
      <c r="A246" s="3">
        <f>'FRED Graph'!A265</f>
        <v>40179</v>
      </c>
      <c r="B246">
        <f>'FRED Graph'!D265</f>
        <v>-6.5633656841984136</v>
      </c>
    </row>
    <row r="247" spans="1:2" x14ac:dyDescent="0.25">
      <c r="A247" s="3">
        <f>'FRED Graph'!A266</f>
        <v>40269</v>
      </c>
      <c r="B247">
        <f>'FRED Graph'!D266</f>
        <v>-5.9632676487468936</v>
      </c>
    </row>
    <row r="248" spans="1:2" x14ac:dyDescent="0.25">
      <c r="A248" s="3">
        <f>'FRED Graph'!A267</f>
        <v>40360</v>
      </c>
      <c r="B248">
        <f>'FRED Graph'!D267</f>
        <v>-5.6290127773186702</v>
      </c>
    </row>
    <row r="249" spans="1:2" x14ac:dyDescent="0.25">
      <c r="A249" s="3">
        <f>'FRED Graph'!A268</f>
        <v>40452</v>
      </c>
      <c r="B249">
        <f>'FRED Graph'!D268</f>
        <v>-5.3397289265415049</v>
      </c>
    </row>
    <row r="250" spans="1:2" x14ac:dyDescent="0.25">
      <c r="A250" s="3">
        <f>'FRED Graph'!A269</f>
        <v>40544</v>
      </c>
      <c r="B250">
        <f>'FRED Graph'!D269</f>
        <v>-6.0298556471880964</v>
      </c>
    </row>
    <row r="251" spans="1:2" x14ac:dyDescent="0.25">
      <c r="A251" s="3">
        <f>'FRED Graph'!A270</f>
        <v>40634</v>
      </c>
      <c r="B251">
        <f>'FRED Graph'!D270</f>
        <v>-5.6812962089035679</v>
      </c>
    </row>
    <row r="252" spans="1:2" x14ac:dyDescent="0.25">
      <c r="A252" s="3">
        <f>'FRED Graph'!A271</f>
        <v>40725</v>
      </c>
      <c r="B252">
        <f>'FRED Graph'!D271</f>
        <v>-5.8267765900755446</v>
      </c>
    </row>
    <row r="253" spans="1:2" x14ac:dyDescent="0.25">
      <c r="A253" s="3">
        <f>'FRED Graph'!A272</f>
        <v>40817</v>
      </c>
      <c r="B253">
        <f>'FRED Graph'!D272</f>
        <v>-5.1205176732187869</v>
      </c>
    </row>
    <row r="254" spans="1:2" x14ac:dyDescent="0.25">
      <c r="A254" s="3">
        <f>'FRED Graph'!A273</f>
        <v>40909</v>
      </c>
      <c r="B254">
        <f>'FRED Graph'!D273</f>
        <v>-4.9559779734312288</v>
      </c>
    </row>
    <row r="255" spans="1:2" x14ac:dyDescent="0.25">
      <c r="A255" s="3">
        <f>'FRED Graph'!A274</f>
        <v>41000</v>
      </c>
      <c r="B255">
        <f>'FRED Graph'!D274</f>
        <v>-4.9488075759829444</v>
      </c>
    </row>
    <row r="256" spans="1:2" x14ac:dyDescent="0.25">
      <c r="A256" s="3">
        <f>'FRED Graph'!A275</f>
        <v>41091</v>
      </c>
      <c r="B256">
        <f>'FRED Graph'!D275</f>
        <v>-4.7456497182116228</v>
      </c>
    </row>
    <row r="257" spans="1:2" x14ac:dyDescent="0.25">
      <c r="A257" s="3">
        <f>'FRED Graph'!A276</f>
        <v>41183</v>
      </c>
      <c r="B257">
        <f>'FRED Graph'!D276</f>
        <v>-5.116808065904336</v>
      </c>
    </row>
    <row r="258" spans="1:2" x14ac:dyDescent="0.25">
      <c r="A258" s="3">
        <f>'FRED Graph'!A277</f>
        <v>41275</v>
      </c>
      <c r="B258">
        <f>'FRED Graph'!D277</f>
        <v>-4.8609197724753992</v>
      </c>
    </row>
    <row r="259" spans="1:2" x14ac:dyDescent="0.25">
      <c r="A259" s="3">
        <f>'FRED Graph'!A278</f>
        <v>41365</v>
      </c>
      <c r="B259">
        <f>'FRED Graph'!D278</f>
        <v>-4.8261983168679086</v>
      </c>
    </row>
    <row r="260" spans="1:2" x14ac:dyDescent="0.25">
      <c r="A260" s="3">
        <f>'FRED Graph'!A279</f>
        <v>41456</v>
      </c>
      <c r="B260">
        <f>'FRED Graph'!D279</f>
        <v>-4.1562906184327275</v>
      </c>
    </row>
    <row r="261" spans="1:2" x14ac:dyDescent="0.25">
      <c r="A261" s="3">
        <f>'FRED Graph'!A280</f>
        <v>41548</v>
      </c>
      <c r="B261">
        <f>'FRED Graph'!D280</f>
        <v>-3.7190732563063293</v>
      </c>
    </row>
    <row r="262" spans="1:2" x14ac:dyDescent="0.25">
      <c r="A262" s="3">
        <f>'FRED Graph'!A281</f>
        <v>41640</v>
      </c>
      <c r="B262">
        <f>'FRED Graph'!D281</f>
        <v>-4.6156719565243503</v>
      </c>
    </row>
    <row r="263" spans="1:2" x14ac:dyDescent="0.25">
      <c r="A263" s="3">
        <f>'FRED Graph'!A282</f>
        <v>41730</v>
      </c>
      <c r="B263">
        <f>'FRED Graph'!D282</f>
        <v>-3.9297222372234502</v>
      </c>
    </row>
    <row r="264" spans="1:2" x14ac:dyDescent="0.25">
      <c r="A264" s="3">
        <f>'FRED Graph'!A283</f>
        <v>41821</v>
      </c>
      <c r="B264">
        <f>'FRED Graph'!D283</f>
        <v>-3.4891989602318541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6"/>
  <sheetViews>
    <sheetView workbookViewId="0">
      <selection activeCell="G3" sqref="G3"/>
    </sheetView>
  </sheetViews>
  <sheetFormatPr defaultRowHeight="13.2" x14ac:dyDescent="0.25"/>
  <cols>
    <col min="1" max="3" width="9.109375" style="3"/>
  </cols>
  <sheetData>
    <row r="1" spans="1:7" x14ac:dyDescent="0.25">
      <c r="A1" s="6"/>
      <c r="B1" s="6" t="s">
        <v>19</v>
      </c>
      <c r="C1" s="6"/>
      <c r="D1" s="9" t="s">
        <v>16</v>
      </c>
      <c r="E1" s="8"/>
      <c r="F1" s="6" t="s">
        <v>15</v>
      </c>
      <c r="G1" s="7"/>
    </row>
    <row r="2" spans="1:7" x14ac:dyDescent="0.25">
      <c r="A2" s="5" t="s">
        <v>9</v>
      </c>
      <c r="B2" s="4" t="s">
        <v>12</v>
      </c>
      <c r="C2" s="4" t="s">
        <v>20</v>
      </c>
      <c r="D2" s="4" t="s">
        <v>12</v>
      </c>
      <c r="E2" s="4" t="s">
        <v>18</v>
      </c>
      <c r="F2" s="4" t="s">
        <v>12</v>
      </c>
      <c r="G2" s="4" t="s">
        <v>17</v>
      </c>
    </row>
    <row r="3" spans="1:7" x14ac:dyDescent="0.25">
      <c r="A3" s="3">
        <f>'FRED Graph'!A225</f>
        <v>36526</v>
      </c>
      <c r="B3" s="2">
        <v>12359.1</v>
      </c>
      <c r="C3" s="2">
        <v>12136.5</v>
      </c>
      <c r="D3">
        <v>12359.1</v>
      </c>
      <c r="E3">
        <v>12123.7</v>
      </c>
      <c r="F3">
        <f>'FRED Graph'!B225</f>
        <v>12359.1</v>
      </c>
      <c r="G3">
        <f>'FRED Graph'!C225</f>
        <v>12062</v>
      </c>
    </row>
    <row r="4" spans="1:7" x14ac:dyDescent="0.25">
      <c r="A4" s="3">
        <f>'FRED Graph'!A226</f>
        <v>36617</v>
      </c>
      <c r="B4" s="2">
        <v>12592.5</v>
      </c>
      <c r="C4" s="2">
        <v>12243.8</v>
      </c>
      <c r="D4">
        <v>12592.5</v>
      </c>
      <c r="E4">
        <v>12232.3</v>
      </c>
      <c r="F4">
        <f>'FRED Graph'!B226</f>
        <v>12592.5</v>
      </c>
      <c r="G4">
        <f>'FRED Graph'!C226</f>
        <v>12171.2</v>
      </c>
    </row>
    <row r="5" spans="1:7" x14ac:dyDescent="0.25">
      <c r="A5" s="3">
        <f>'FRED Graph'!A227</f>
        <v>36708</v>
      </c>
      <c r="B5" s="2">
        <v>12607.7</v>
      </c>
      <c r="C5" s="2">
        <v>12352.8</v>
      </c>
      <c r="D5">
        <v>12607.7</v>
      </c>
      <c r="E5">
        <v>12343</v>
      </c>
      <c r="F5">
        <f>'FRED Graph'!B227</f>
        <v>12607.7</v>
      </c>
      <c r="G5">
        <f>'FRED Graph'!C227</f>
        <v>12281.8</v>
      </c>
    </row>
    <row r="6" spans="1:7" x14ac:dyDescent="0.25">
      <c r="A6" s="3">
        <f>'FRED Graph'!A228</f>
        <v>36800</v>
      </c>
      <c r="B6" s="2">
        <v>12679.3</v>
      </c>
      <c r="C6" s="2">
        <v>12463.2</v>
      </c>
      <c r="D6">
        <v>12679.3</v>
      </c>
      <c r="E6">
        <v>12455.4</v>
      </c>
      <c r="F6">
        <f>'FRED Graph'!B228</f>
        <v>12679.3</v>
      </c>
      <c r="G6">
        <f>'FRED Graph'!C228</f>
        <v>12393.4</v>
      </c>
    </row>
    <row r="7" spans="1:7" x14ac:dyDescent="0.25">
      <c r="A7" s="3">
        <f>'FRED Graph'!A229</f>
        <v>36892</v>
      </c>
      <c r="B7" s="2">
        <v>12643.3</v>
      </c>
      <c r="C7" s="2">
        <v>12576.2</v>
      </c>
      <c r="D7">
        <v>12643.3</v>
      </c>
      <c r="E7">
        <v>12570.3</v>
      </c>
      <c r="F7">
        <f>'FRED Graph'!B229</f>
        <v>12643.3</v>
      </c>
      <c r="G7">
        <f>'FRED Graph'!C229</f>
        <v>12505.9</v>
      </c>
    </row>
    <row r="8" spans="1:7" x14ac:dyDescent="0.25">
      <c r="A8" s="3">
        <f>'FRED Graph'!A230</f>
        <v>36982</v>
      </c>
      <c r="B8" s="2">
        <v>12710.3</v>
      </c>
      <c r="C8" s="2">
        <v>12689</v>
      </c>
      <c r="D8">
        <v>12710.3</v>
      </c>
      <c r="E8">
        <v>12684.7</v>
      </c>
      <c r="F8">
        <f>'FRED Graph'!B230</f>
        <v>12710.3</v>
      </c>
      <c r="G8">
        <f>'FRED Graph'!C230</f>
        <v>12618.3</v>
      </c>
    </row>
    <row r="9" spans="1:7" x14ac:dyDescent="0.25">
      <c r="A9" s="3">
        <f>'FRED Graph'!A231</f>
        <v>37073</v>
      </c>
      <c r="B9" s="2">
        <v>12670.1</v>
      </c>
      <c r="C9" s="2">
        <v>12801.1</v>
      </c>
      <c r="D9">
        <v>12670.1</v>
      </c>
      <c r="E9">
        <v>12798.3</v>
      </c>
      <c r="F9">
        <f>'FRED Graph'!B231</f>
        <v>12670.1</v>
      </c>
      <c r="G9">
        <f>'FRED Graph'!C231</f>
        <v>12730.4</v>
      </c>
    </row>
    <row r="10" spans="1:7" x14ac:dyDescent="0.25">
      <c r="A10" s="3">
        <f>'FRED Graph'!A232</f>
        <v>37165</v>
      </c>
      <c r="B10" s="2">
        <v>12705.3</v>
      </c>
      <c r="C10" s="2">
        <v>12911.5</v>
      </c>
      <c r="D10">
        <v>12705.3</v>
      </c>
      <c r="E10">
        <v>12910.2</v>
      </c>
      <c r="F10">
        <f>'FRED Graph'!B232</f>
        <v>12705.3</v>
      </c>
      <c r="G10">
        <f>'FRED Graph'!C232</f>
        <v>12841.7</v>
      </c>
    </row>
    <row r="11" spans="1:7" x14ac:dyDescent="0.25">
      <c r="A11" s="3">
        <f>'FRED Graph'!A233</f>
        <v>37257</v>
      </c>
      <c r="B11" s="2">
        <v>12822.3</v>
      </c>
      <c r="C11" s="2">
        <v>13016.9</v>
      </c>
      <c r="D11">
        <v>12822.3</v>
      </c>
      <c r="E11">
        <v>13016.8</v>
      </c>
      <c r="F11">
        <f>'FRED Graph'!B233</f>
        <v>12822.3</v>
      </c>
      <c r="G11">
        <f>'FRED Graph'!C233</f>
        <v>12950.5</v>
      </c>
    </row>
    <row r="12" spans="1:7" x14ac:dyDescent="0.25">
      <c r="A12" s="3">
        <f>'FRED Graph'!A234</f>
        <v>37347</v>
      </c>
      <c r="B12" s="2">
        <v>12893</v>
      </c>
      <c r="C12" s="2">
        <v>13120.7</v>
      </c>
      <c r="D12">
        <v>12893</v>
      </c>
      <c r="E12">
        <v>13121.9</v>
      </c>
      <c r="F12">
        <f>'FRED Graph'!B234</f>
        <v>12893</v>
      </c>
      <c r="G12">
        <f>'FRED Graph'!C234</f>
        <v>13059.7</v>
      </c>
    </row>
    <row r="13" spans="1:7" x14ac:dyDescent="0.25">
      <c r="A13" s="3">
        <f>'FRED Graph'!A235</f>
        <v>37438</v>
      </c>
      <c r="B13" s="2">
        <v>12955.8</v>
      </c>
      <c r="C13" s="2">
        <v>13221.8</v>
      </c>
      <c r="D13">
        <v>12955.8</v>
      </c>
      <c r="E13">
        <v>13224.4</v>
      </c>
      <c r="F13">
        <f>'FRED Graph'!B235</f>
        <v>12955.8</v>
      </c>
      <c r="G13">
        <f>'FRED Graph'!C235</f>
        <v>13167.2</v>
      </c>
    </row>
    <row r="14" spans="1:7" x14ac:dyDescent="0.25">
      <c r="A14" s="3">
        <f>'FRED Graph'!A236</f>
        <v>37530</v>
      </c>
      <c r="B14" s="2">
        <v>12964</v>
      </c>
      <c r="C14" s="2">
        <v>13320.2</v>
      </c>
      <c r="D14">
        <v>12964</v>
      </c>
      <c r="E14">
        <v>13324.4</v>
      </c>
      <c r="F14">
        <f>'FRED Graph'!B236</f>
        <v>12964</v>
      </c>
      <c r="G14">
        <f>'FRED Graph'!C236</f>
        <v>13272.7</v>
      </c>
    </row>
    <row r="15" spans="1:7" x14ac:dyDescent="0.25">
      <c r="A15" s="3">
        <f>'FRED Graph'!A237</f>
        <v>37622</v>
      </c>
      <c r="B15" s="2">
        <v>13031.2</v>
      </c>
      <c r="C15" s="2">
        <v>13415.9</v>
      </c>
      <c r="D15">
        <v>13031.2</v>
      </c>
      <c r="E15">
        <v>13422.1</v>
      </c>
      <c r="F15">
        <f>'FRED Graph'!B237</f>
        <v>13031.2</v>
      </c>
      <c r="G15">
        <f>'FRED Graph'!C237</f>
        <v>13375.7</v>
      </c>
    </row>
    <row r="16" spans="1:7" x14ac:dyDescent="0.25">
      <c r="A16" s="3">
        <f>'FRED Graph'!A238</f>
        <v>37712</v>
      </c>
      <c r="B16" s="2">
        <v>13152.1</v>
      </c>
      <c r="C16" s="2">
        <v>13507.1</v>
      </c>
      <c r="D16">
        <v>13152.1</v>
      </c>
      <c r="E16">
        <v>13515.4</v>
      </c>
      <c r="F16">
        <f>'FRED Graph'!B238</f>
        <v>13152.1</v>
      </c>
      <c r="G16">
        <f>'FRED Graph'!C238</f>
        <v>13474.2</v>
      </c>
    </row>
    <row r="17" spans="1:7" x14ac:dyDescent="0.25">
      <c r="A17" s="3">
        <f>'FRED Graph'!A239</f>
        <v>37803</v>
      </c>
      <c r="B17" s="2">
        <v>13372.4</v>
      </c>
      <c r="C17" s="2">
        <v>13595.1</v>
      </c>
      <c r="D17">
        <v>13372.4</v>
      </c>
      <c r="E17">
        <v>13606</v>
      </c>
      <c r="F17">
        <f>'FRED Graph'!B239</f>
        <v>13372.4</v>
      </c>
      <c r="G17">
        <f>'FRED Graph'!C239</f>
        <v>13569.6</v>
      </c>
    </row>
    <row r="18" spans="1:7" x14ac:dyDescent="0.25">
      <c r="A18" s="3">
        <f>'FRED Graph'!A240</f>
        <v>37895</v>
      </c>
      <c r="B18" s="2">
        <v>13528.7</v>
      </c>
      <c r="C18" s="2">
        <v>13680.1</v>
      </c>
      <c r="D18">
        <v>13528.7</v>
      </c>
      <c r="E18">
        <v>13693.9</v>
      </c>
      <c r="F18">
        <f>'FRED Graph'!B240</f>
        <v>13528.7</v>
      </c>
      <c r="G18">
        <f>'FRED Graph'!C240</f>
        <v>13661.8</v>
      </c>
    </row>
    <row r="19" spans="1:7" x14ac:dyDescent="0.25">
      <c r="A19" s="3">
        <f>'FRED Graph'!A241</f>
        <v>37987</v>
      </c>
      <c r="B19" s="2">
        <v>13606.5</v>
      </c>
      <c r="C19" s="2">
        <v>13761.4</v>
      </c>
      <c r="D19">
        <v>13606.5</v>
      </c>
      <c r="E19">
        <v>13778.6</v>
      </c>
      <c r="F19">
        <f>'FRED Graph'!B241</f>
        <v>13606.5</v>
      </c>
      <c r="G19">
        <f>'FRED Graph'!C241</f>
        <v>13749.3</v>
      </c>
    </row>
    <row r="20" spans="1:7" x14ac:dyDescent="0.25">
      <c r="A20" s="3">
        <f>'FRED Graph'!A242</f>
        <v>38078</v>
      </c>
      <c r="B20" s="2">
        <v>13706.2</v>
      </c>
      <c r="C20" s="2">
        <v>13839.3</v>
      </c>
      <c r="D20">
        <v>13706.2</v>
      </c>
      <c r="E20">
        <v>13860.8</v>
      </c>
      <c r="F20">
        <f>'FRED Graph'!B242</f>
        <v>13706.2</v>
      </c>
      <c r="G20">
        <f>'FRED Graph'!C242</f>
        <v>13833.7</v>
      </c>
    </row>
    <row r="21" spans="1:7" x14ac:dyDescent="0.25">
      <c r="A21" s="3">
        <f>'FRED Graph'!A243</f>
        <v>38169</v>
      </c>
      <c r="B21" s="2">
        <v>13830.8</v>
      </c>
      <c r="C21" s="2">
        <v>13915.6</v>
      </c>
      <c r="D21">
        <v>13830.8</v>
      </c>
      <c r="E21">
        <v>13942</v>
      </c>
      <c r="F21">
        <f>'FRED Graph'!B243</f>
        <v>13830.8</v>
      </c>
      <c r="G21">
        <f>'FRED Graph'!C243</f>
        <v>13916.1</v>
      </c>
    </row>
    <row r="22" spans="1:7" x14ac:dyDescent="0.25">
      <c r="A22" s="3">
        <f>'FRED Graph'!A244</f>
        <v>38261</v>
      </c>
      <c r="B22" s="2">
        <v>13950.4</v>
      </c>
      <c r="C22" s="2">
        <v>13990.9</v>
      </c>
      <c r="D22">
        <v>13950.4</v>
      </c>
      <c r="E22">
        <v>14023</v>
      </c>
      <c r="F22">
        <f>'FRED Graph'!B244</f>
        <v>13950.4</v>
      </c>
      <c r="G22">
        <f>'FRED Graph'!C244</f>
        <v>13997.5</v>
      </c>
    </row>
    <row r="23" spans="1:7" x14ac:dyDescent="0.25">
      <c r="A23" s="3">
        <f>'FRED Graph'!A245</f>
        <v>38353</v>
      </c>
      <c r="B23" s="2">
        <v>14099.1</v>
      </c>
      <c r="C23" s="2">
        <v>14067.3</v>
      </c>
      <c r="D23">
        <v>14099.1</v>
      </c>
      <c r="E23">
        <v>14105.9</v>
      </c>
      <c r="F23">
        <f>'FRED Graph'!B245</f>
        <v>14099.1</v>
      </c>
      <c r="G23">
        <f>'FRED Graph'!C245</f>
        <v>14080</v>
      </c>
    </row>
    <row r="24" spans="1:7" x14ac:dyDescent="0.25">
      <c r="A24" s="3">
        <f>'FRED Graph'!A246</f>
        <v>38443</v>
      </c>
      <c r="B24" s="2">
        <v>14172.7</v>
      </c>
      <c r="C24" s="2">
        <v>14144.5</v>
      </c>
      <c r="D24">
        <v>14172.7</v>
      </c>
      <c r="E24">
        <v>14190.7</v>
      </c>
      <c r="F24">
        <f>'FRED Graph'!B246</f>
        <v>14172.7</v>
      </c>
      <c r="G24">
        <f>'FRED Graph'!C246</f>
        <v>14162.2</v>
      </c>
    </row>
    <row r="25" spans="1:7" x14ac:dyDescent="0.25">
      <c r="A25" s="3">
        <f>'FRED Graph'!A247</f>
        <v>38534</v>
      </c>
      <c r="B25" s="2">
        <v>14291.8</v>
      </c>
      <c r="C25" s="2">
        <v>14222.2</v>
      </c>
      <c r="D25">
        <v>14291.8</v>
      </c>
      <c r="E25">
        <v>14276.3</v>
      </c>
      <c r="F25">
        <f>'FRED Graph'!B247</f>
        <v>14291.8</v>
      </c>
      <c r="G25">
        <f>'FRED Graph'!C247</f>
        <v>14244.6</v>
      </c>
    </row>
    <row r="26" spans="1:7" x14ac:dyDescent="0.25">
      <c r="A26" s="3">
        <f>'FRED Graph'!A248</f>
        <v>38626</v>
      </c>
      <c r="B26" s="2">
        <v>14373.4</v>
      </c>
      <c r="C26" s="2">
        <v>14300.4</v>
      </c>
      <c r="D26">
        <v>14373.4</v>
      </c>
      <c r="E26">
        <v>14362.9</v>
      </c>
      <c r="F26">
        <f>'FRED Graph'!B248</f>
        <v>14373.4</v>
      </c>
      <c r="G26">
        <f>'FRED Graph'!C248</f>
        <v>14327.5</v>
      </c>
    </row>
    <row r="27" spans="1:7" x14ac:dyDescent="0.25">
      <c r="A27" s="3">
        <f>'FRED Graph'!A249</f>
        <v>38718</v>
      </c>
      <c r="B27" s="2">
        <v>14546.1</v>
      </c>
      <c r="C27" s="2">
        <v>14380.3</v>
      </c>
      <c r="D27">
        <v>14546.1</v>
      </c>
      <c r="E27">
        <v>14451</v>
      </c>
      <c r="F27">
        <f>'FRED Graph'!B249</f>
        <v>14546.1</v>
      </c>
      <c r="G27">
        <f>'FRED Graph'!C249</f>
        <v>14411.7</v>
      </c>
    </row>
    <row r="28" spans="1:7" x14ac:dyDescent="0.25">
      <c r="A28" s="3">
        <f>'FRED Graph'!A250</f>
        <v>38808</v>
      </c>
      <c r="B28" s="2">
        <v>14589.6</v>
      </c>
      <c r="C28" s="2">
        <v>14461.5</v>
      </c>
      <c r="D28">
        <v>14589.6</v>
      </c>
      <c r="E28">
        <v>14540.5</v>
      </c>
      <c r="F28">
        <f>'FRED Graph'!B250</f>
        <v>14589.6</v>
      </c>
      <c r="G28">
        <f>'FRED Graph'!C250</f>
        <v>14497.1</v>
      </c>
    </row>
    <row r="29" spans="1:7" x14ac:dyDescent="0.25">
      <c r="A29" s="3">
        <f>'FRED Graph'!A251</f>
        <v>38899</v>
      </c>
      <c r="B29" s="2">
        <v>14602.6</v>
      </c>
      <c r="C29" s="2">
        <v>14542.7</v>
      </c>
      <c r="D29">
        <v>14602.6</v>
      </c>
      <c r="E29">
        <v>14629.9</v>
      </c>
      <c r="F29">
        <f>'FRED Graph'!B251</f>
        <v>14602.6</v>
      </c>
      <c r="G29">
        <f>'FRED Graph'!C251</f>
        <v>14583.2</v>
      </c>
    </row>
    <row r="30" spans="1:7" x14ac:dyDescent="0.25">
      <c r="A30" s="3">
        <f>'FRED Graph'!A252</f>
        <v>38991</v>
      </c>
      <c r="B30" s="2">
        <v>14716.9</v>
      </c>
      <c r="C30" s="2">
        <v>14623.5</v>
      </c>
      <c r="D30">
        <v>14716.9</v>
      </c>
      <c r="E30">
        <v>14718.6</v>
      </c>
      <c r="F30">
        <f>'FRED Graph'!B252</f>
        <v>14716.9</v>
      </c>
      <c r="G30">
        <f>'FRED Graph'!C252</f>
        <v>14669.8</v>
      </c>
    </row>
    <row r="31" spans="1:7" x14ac:dyDescent="0.25">
      <c r="A31" s="3">
        <f>'FRED Graph'!A253</f>
        <v>39083</v>
      </c>
      <c r="B31" s="2">
        <v>14726</v>
      </c>
      <c r="C31" s="2">
        <v>14702.9</v>
      </c>
      <c r="D31">
        <v>14726</v>
      </c>
      <c r="E31">
        <v>14805.1</v>
      </c>
      <c r="F31">
        <f>'FRED Graph'!B253</f>
        <v>14726</v>
      </c>
      <c r="G31">
        <f>'FRED Graph'!C253</f>
        <v>14757</v>
      </c>
    </row>
    <row r="32" spans="1:7" x14ac:dyDescent="0.25">
      <c r="A32" s="3">
        <f>'FRED Graph'!A254</f>
        <v>39173</v>
      </c>
      <c r="B32" s="2">
        <v>14838.7</v>
      </c>
      <c r="C32" s="2">
        <v>14781.3</v>
      </c>
      <c r="D32">
        <v>14838.7</v>
      </c>
      <c r="E32">
        <v>14889.6</v>
      </c>
      <c r="F32">
        <f>'FRED Graph'!B254</f>
        <v>14838.7</v>
      </c>
      <c r="G32">
        <f>'FRED Graph'!C254</f>
        <v>14846.3</v>
      </c>
    </row>
    <row r="33" spans="1:7" x14ac:dyDescent="0.25">
      <c r="A33" s="3">
        <f>'FRED Graph'!A255</f>
        <v>39264</v>
      </c>
      <c r="B33" s="2">
        <v>14938.5</v>
      </c>
      <c r="C33" s="2">
        <v>14858.3</v>
      </c>
      <c r="D33">
        <v>14938.5</v>
      </c>
      <c r="E33">
        <v>14972.3</v>
      </c>
      <c r="F33">
        <f>'FRED Graph'!B255</f>
        <v>14938.5</v>
      </c>
      <c r="G33">
        <f>'FRED Graph'!C255</f>
        <v>14935</v>
      </c>
    </row>
    <row r="34" spans="1:7" x14ac:dyDescent="0.25">
      <c r="A34" s="3">
        <f>'FRED Graph'!A256</f>
        <v>39356</v>
      </c>
      <c r="B34" s="2">
        <v>14991.8</v>
      </c>
      <c r="C34" s="2">
        <v>14933.4</v>
      </c>
      <c r="D34">
        <v>14991.8</v>
      </c>
      <c r="E34">
        <v>15052.9</v>
      </c>
      <c r="F34">
        <f>'FRED Graph'!B256</f>
        <v>14991.8</v>
      </c>
      <c r="G34">
        <f>'FRED Graph'!C256</f>
        <v>15022.3</v>
      </c>
    </row>
    <row r="35" spans="1:7" x14ac:dyDescent="0.25">
      <c r="A35" s="3">
        <f>'FRED Graph'!A257</f>
        <v>39448</v>
      </c>
      <c r="B35" s="2">
        <v>14889.5</v>
      </c>
      <c r="C35" s="2">
        <v>15005.5</v>
      </c>
      <c r="D35">
        <v>14889.5</v>
      </c>
      <c r="E35">
        <v>15130.6</v>
      </c>
      <c r="F35">
        <f>'FRED Graph'!B257</f>
        <v>14889.5</v>
      </c>
      <c r="G35">
        <f>'FRED Graph'!C257</f>
        <v>15107</v>
      </c>
    </row>
    <row r="36" spans="1:7" x14ac:dyDescent="0.25">
      <c r="A36" s="3">
        <f>'FRED Graph'!A258</f>
        <v>39539</v>
      </c>
      <c r="B36" s="2">
        <v>14963.4</v>
      </c>
      <c r="C36" s="2">
        <v>15076.9</v>
      </c>
      <c r="D36">
        <v>14963.4</v>
      </c>
      <c r="E36">
        <v>15208.7</v>
      </c>
      <c r="F36">
        <f>'FRED Graph'!B258</f>
        <v>14963.4</v>
      </c>
      <c r="G36">
        <f>'FRED Graph'!C258</f>
        <v>15188.7</v>
      </c>
    </row>
    <row r="37" spans="1:7" x14ac:dyDescent="0.25">
      <c r="A37" s="3">
        <f>'FRED Graph'!A259</f>
        <v>39630</v>
      </c>
      <c r="B37" s="2">
        <v>14891.6</v>
      </c>
      <c r="C37" s="2">
        <v>15145.3</v>
      </c>
      <c r="D37">
        <v>14891.6</v>
      </c>
      <c r="E37">
        <v>15283.9</v>
      </c>
      <c r="F37">
        <f>'FRED Graph'!B259</f>
        <v>14891.6</v>
      </c>
      <c r="G37">
        <f>'FRED Graph'!C259</f>
        <v>15266.9</v>
      </c>
    </row>
    <row r="38" spans="1:7" x14ac:dyDescent="0.25">
      <c r="A38" s="3">
        <f>'FRED Graph'!A260</f>
        <v>39722</v>
      </c>
      <c r="B38" s="2">
        <v>14577</v>
      </c>
      <c r="C38" s="2">
        <v>15209.9</v>
      </c>
      <c r="D38">
        <v>14577</v>
      </c>
      <c r="E38">
        <v>15355.5</v>
      </c>
      <c r="F38">
        <f>'FRED Graph'!B260</f>
        <v>14577</v>
      </c>
      <c r="G38">
        <f>'FRED Graph'!C260</f>
        <v>15340.8</v>
      </c>
    </row>
    <row r="39" spans="1:7" x14ac:dyDescent="0.25">
      <c r="A39" s="3">
        <f>'FRED Graph'!A261</f>
        <v>39814</v>
      </c>
      <c r="B39" s="2">
        <v>14375</v>
      </c>
      <c r="C39" s="2">
        <v>15270</v>
      </c>
      <c r="D39">
        <v>14375</v>
      </c>
      <c r="E39">
        <v>15422.8</v>
      </c>
      <c r="F39">
        <f>'FRED Graph'!B261</f>
        <v>14375</v>
      </c>
      <c r="G39">
        <f>'FRED Graph'!C261</f>
        <v>15408.3</v>
      </c>
    </row>
    <row r="40" spans="1:7" x14ac:dyDescent="0.25">
      <c r="A40" s="3">
        <f>'FRED Graph'!A262</f>
        <v>39904</v>
      </c>
      <c r="B40" s="2">
        <v>14355.6</v>
      </c>
      <c r="C40" s="2">
        <v>15321.7</v>
      </c>
      <c r="D40">
        <v>14355.6</v>
      </c>
      <c r="E40">
        <v>15479.9</v>
      </c>
      <c r="F40">
        <f>'FRED Graph'!B262</f>
        <v>14355.6</v>
      </c>
      <c r="G40">
        <f>'FRED Graph'!C262</f>
        <v>15468.8</v>
      </c>
    </row>
    <row r="41" spans="1:7" x14ac:dyDescent="0.25">
      <c r="A41" s="3">
        <f>'FRED Graph'!A263</f>
        <v>39995</v>
      </c>
      <c r="B41" s="2">
        <v>14402.5</v>
      </c>
      <c r="C41" s="2">
        <v>15369.1</v>
      </c>
      <c r="D41">
        <v>14402.5</v>
      </c>
      <c r="E41">
        <v>15532.4</v>
      </c>
      <c r="F41">
        <f>'FRED Graph'!B263</f>
        <v>14402.5</v>
      </c>
      <c r="G41">
        <f>'FRED Graph'!C263</f>
        <v>15525.4</v>
      </c>
    </row>
    <row r="42" spans="1:7" x14ac:dyDescent="0.25">
      <c r="A42" s="3">
        <f>'FRED Graph'!A264</f>
        <v>40087</v>
      </c>
      <c r="B42" s="2">
        <v>14541.9</v>
      </c>
      <c r="C42" s="2">
        <v>15413</v>
      </c>
      <c r="D42">
        <v>14541.9</v>
      </c>
      <c r="E42">
        <v>15581.2</v>
      </c>
      <c r="F42">
        <f>'FRED Graph'!B264</f>
        <v>14541.9</v>
      </c>
      <c r="G42">
        <f>'FRED Graph'!C264</f>
        <v>15579.1</v>
      </c>
    </row>
    <row r="43" spans="1:7" x14ac:dyDescent="0.25">
      <c r="A43" s="3">
        <f>'FRED Graph'!A265</f>
        <v>40179</v>
      </c>
      <c r="B43" s="2">
        <v>14604.8</v>
      </c>
      <c r="C43" s="2">
        <v>15452.7</v>
      </c>
      <c r="D43">
        <v>14604.8</v>
      </c>
      <c r="E43">
        <v>15624.8</v>
      </c>
      <c r="F43">
        <f>'FRED Graph'!B265</f>
        <v>14604.8</v>
      </c>
      <c r="G43">
        <f>'FRED Graph'!C265</f>
        <v>15630.7</v>
      </c>
    </row>
    <row r="44" spans="1:7" x14ac:dyDescent="0.25">
      <c r="A44" s="3">
        <f>'FRED Graph'!A266</f>
        <v>40269</v>
      </c>
      <c r="B44" s="2">
        <v>14745.9</v>
      </c>
      <c r="C44" s="2">
        <v>15491.4</v>
      </c>
      <c r="D44">
        <v>14745.9</v>
      </c>
      <c r="E44">
        <v>15669.1</v>
      </c>
      <c r="F44">
        <f>'FRED Graph'!B266</f>
        <v>14745.9</v>
      </c>
      <c r="G44">
        <f>'FRED Graph'!C266</f>
        <v>15681</v>
      </c>
    </row>
    <row r="45" spans="1:7" x14ac:dyDescent="0.25">
      <c r="A45" s="3">
        <f>'FRED Graph'!A267</f>
        <v>40360</v>
      </c>
      <c r="B45" s="2">
        <v>14845.5</v>
      </c>
      <c r="C45" s="2">
        <v>15530</v>
      </c>
      <c r="D45">
        <v>14845.5</v>
      </c>
      <c r="E45">
        <v>15713.7</v>
      </c>
      <c r="F45">
        <f>'FRED Graph'!B267</f>
        <v>14845.5</v>
      </c>
      <c r="G45">
        <f>'FRED Graph'!C267</f>
        <v>15731</v>
      </c>
    </row>
    <row r="46" spans="1:7" x14ac:dyDescent="0.25">
      <c r="A46" s="3">
        <f>'FRED Graph'!A268</f>
        <v>40452</v>
      </c>
      <c r="B46" s="2">
        <v>14939</v>
      </c>
      <c r="C46" s="2">
        <v>15569.6</v>
      </c>
      <c r="D46">
        <v>14939</v>
      </c>
      <c r="E46">
        <v>15759.9</v>
      </c>
      <c r="F46">
        <f>'FRED Graph'!B268</f>
        <v>14939</v>
      </c>
      <c r="G46">
        <f>'FRED Graph'!C268</f>
        <v>15781.7</v>
      </c>
    </row>
    <row r="47" spans="1:7" x14ac:dyDescent="0.25">
      <c r="A47" s="3">
        <f>'FRED Graph'!A269</f>
        <v>40544</v>
      </c>
      <c r="B47" s="2">
        <v>14881.3</v>
      </c>
      <c r="C47" s="2">
        <v>15615</v>
      </c>
      <c r="D47">
        <v>14881.3</v>
      </c>
      <c r="E47">
        <v>15813.6</v>
      </c>
      <c r="F47">
        <f>'FRED Graph'!B269</f>
        <v>14881.3</v>
      </c>
      <c r="G47">
        <f>'FRED Graph'!C269</f>
        <v>15836.2</v>
      </c>
    </row>
    <row r="48" spans="1:7" x14ac:dyDescent="0.25">
      <c r="A48" s="3">
        <f>'FRED Graph'!A270</f>
        <v>40634</v>
      </c>
      <c r="B48" s="2">
        <v>14989.6</v>
      </c>
      <c r="C48" s="2">
        <v>15662.2</v>
      </c>
      <c r="D48">
        <v>14989.6</v>
      </c>
      <c r="E48">
        <v>15869.2</v>
      </c>
      <c r="F48">
        <f>'FRED Graph'!B270</f>
        <v>14989.6</v>
      </c>
      <c r="G48">
        <f>'FRED Graph'!C270</f>
        <v>15892.5</v>
      </c>
    </row>
    <row r="49" spans="1:7" x14ac:dyDescent="0.25">
      <c r="A49" s="3">
        <f>'FRED Graph'!A271</f>
        <v>40725</v>
      </c>
      <c r="B49" s="2">
        <v>15021.1</v>
      </c>
      <c r="C49" s="2">
        <v>15711.5</v>
      </c>
      <c r="D49">
        <v>15021.1</v>
      </c>
      <c r="E49">
        <v>15926.3</v>
      </c>
      <c r="F49">
        <f>'FRED Graph'!B271</f>
        <v>15021.1</v>
      </c>
      <c r="G49">
        <f>'FRED Graph'!C271</f>
        <v>15950.5</v>
      </c>
    </row>
    <row r="50" spans="1:7" x14ac:dyDescent="0.25">
      <c r="A50" s="3">
        <f>'FRED Graph'!A272</f>
        <v>40817</v>
      </c>
      <c r="B50" s="2">
        <v>15190.3</v>
      </c>
      <c r="C50" s="2">
        <v>15762.9</v>
      </c>
      <c r="D50">
        <v>15190.3</v>
      </c>
      <c r="E50">
        <v>15984.6</v>
      </c>
      <c r="F50">
        <f>'FRED Graph'!B272</f>
        <v>15190.3</v>
      </c>
      <c r="G50">
        <f>'FRED Graph'!C272</f>
        <v>16010.1</v>
      </c>
    </row>
    <row r="51" spans="1:7" x14ac:dyDescent="0.25">
      <c r="A51" s="3">
        <f>'FRED Graph'!A273</f>
        <v>40909</v>
      </c>
      <c r="B51" s="2">
        <v>15291</v>
      </c>
      <c r="C51" s="2">
        <v>15815.8</v>
      </c>
      <c r="D51">
        <v>15291</v>
      </c>
      <c r="E51">
        <v>16041.8</v>
      </c>
      <c r="F51">
        <f>'FRED Graph'!B273</f>
        <v>15275</v>
      </c>
      <c r="G51">
        <f>'FRED Graph'!C273</f>
        <v>16071.5</v>
      </c>
    </row>
    <row r="52" spans="1:7" x14ac:dyDescent="0.25">
      <c r="A52" s="3">
        <f>'FRED Graph'!A274</f>
        <v>41000</v>
      </c>
      <c r="B52" s="2">
        <v>15362.4</v>
      </c>
      <c r="C52" s="2">
        <v>15871.4</v>
      </c>
      <c r="D52">
        <v>15362.4</v>
      </c>
      <c r="E52">
        <v>16100.3</v>
      </c>
      <c r="F52">
        <f>'FRED Graph'!B274</f>
        <v>15336.7</v>
      </c>
      <c r="G52">
        <f>'FRED Graph'!C274</f>
        <v>16135.2</v>
      </c>
    </row>
    <row r="53" spans="1:7" x14ac:dyDescent="0.25">
      <c r="A53" s="3">
        <f>'FRED Graph'!A275</f>
        <v>41091</v>
      </c>
      <c r="B53" s="2">
        <v>15380.8</v>
      </c>
      <c r="C53" s="2">
        <v>15929</v>
      </c>
      <c r="D53">
        <v>15380.8</v>
      </c>
      <c r="E53">
        <v>16159.4</v>
      </c>
      <c r="F53">
        <f>'FRED Graph'!B275</f>
        <v>15431.3</v>
      </c>
      <c r="G53">
        <f>'FRED Graph'!C275</f>
        <v>16200.1</v>
      </c>
    </row>
    <row r="54" spans="1:7" x14ac:dyDescent="0.25">
      <c r="A54" s="3">
        <f>'FRED Graph'!A276</f>
        <v>41183</v>
      </c>
      <c r="B54" s="2">
        <v>15384.3</v>
      </c>
      <c r="C54" s="2">
        <v>15988.3</v>
      </c>
      <c r="D54">
        <v>15384.3</v>
      </c>
      <c r="E54">
        <v>16218.9</v>
      </c>
      <c r="F54">
        <f>'FRED Graph'!B276</f>
        <v>15433.7</v>
      </c>
      <c r="G54">
        <f>'FRED Graph'!C276</f>
        <v>16266</v>
      </c>
    </row>
    <row r="55" spans="1:7" x14ac:dyDescent="0.25">
      <c r="A55" s="3">
        <f>'FRED Graph'!A277</f>
        <v>41275</v>
      </c>
      <c r="B55" s="2">
        <v>15491.9</v>
      </c>
      <c r="C55" s="2">
        <v>16049.3</v>
      </c>
      <c r="D55">
        <v>15457.2</v>
      </c>
      <c r="E55">
        <v>16279.2</v>
      </c>
      <c r="F55">
        <f>'FRED Graph'!B277</f>
        <v>15538.4</v>
      </c>
      <c r="G55">
        <f>'FRED Graph'!C277</f>
        <v>16332.3</v>
      </c>
    </row>
    <row r="56" spans="1:7" x14ac:dyDescent="0.25">
      <c r="A56" s="3">
        <f>'FRED Graph'!A278</f>
        <v>41365</v>
      </c>
      <c r="B56" s="2">
        <v>15521.6</v>
      </c>
      <c r="C56" s="2">
        <v>16111.4</v>
      </c>
      <c r="D56">
        <v>15500.2</v>
      </c>
      <c r="E56">
        <v>16338.4</v>
      </c>
      <c r="F56">
        <f>'FRED Graph'!B278</f>
        <v>15606.6</v>
      </c>
      <c r="G56">
        <f>'FRED Graph'!C278</f>
        <v>16398</v>
      </c>
    </row>
    <row r="57" spans="1:7" x14ac:dyDescent="0.25">
      <c r="A57" s="3">
        <f>'FRED Graph'!A279</f>
        <v>41456</v>
      </c>
      <c r="B57" s="2">
        <v>15641.3</v>
      </c>
      <c r="C57" s="2">
        <v>16174.5</v>
      </c>
      <c r="D57">
        <v>15614.4</v>
      </c>
      <c r="E57">
        <v>16398.099999999999</v>
      </c>
      <c r="F57">
        <f>'FRED Graph'!B279</f>
        <v>15779.9</v>
      </c>
      <c r="G57">
        <f>'FRED Graph'!C279</f>
        <v>16464.2</v>
      </c>
    </row>
    <row r="58" spans="1:7" x14ac:dyDescent="0.25">
      <c r="A58" s="3">
        <f>'FRED Graph'!A280</f>
        <v>41548</v>
      </c>
      <c r="B58" s="2">
        <v>15793.9</v>
      </c>
      <c r="C58" s="2">
        <v>16238.5</v>
      </c>
      <c r="D58">
        <v>15761.5</v>
      </c>
      <c r="E58">
        <v>16458.3</v>
      </c>
      <c r="F58">
        <f>'FRED Graph'!B280</f>
        <v>15916.2</v>
      </c>
      <c r="G58">
        <f>'FRED Graph'!C280</f>
        <v>16531</v>
      </c>
    </row>
    <row r="59" spans="1:7" x14ac:dyDescent="0.25">
      <c r="A59" s="3">
        <f>'FRED Graph'!A281</f>
        <v>41640</v>
      </c>
      <c r="B59" s="2">
        <v>15747</v>
      </c>
      <c r="C59" s="2">
        <v>16302.5</v>
      </c>
      <c r="D59">
        <v>15724.9</v>
      </c>
      <c r="E59">
        <v>16519</v>
      </c>
      <c r="F59">
        <f>'FRED Graph'!B281</f>
        <v>15831.7</v>
      </c>
      <c r="G59">
        <f>'FRED Graph'!C281</f>
        <v>16597.8</v>
      </c>
    </row>
    <row r="60" spans="1:7" x14ac:dyDescent="0.25">
      <c r="A60" s="3">
        <f>'FRED Graph'!A282</f>
        <v>41730</v>
      </c>
      <c r="B60" s="2">
        <v>15900.8</v>
      </c>
      <c r="C60" s="2">
        <v>16367.8</v>
      </c>
      <c r="D60">
        <v>15901.5</v>
      </c>
      <c r="E60">
        <v>16581.5</v>
      </c>
      <c r="F60">
        <f>'FRED Graph'!B282</f>
        <v>16010.4</v>
      </c>
      <c r="G60">
        <f>'FRED Graph'!C282</f>
        <v>16665.3</v>
      </c>
    </row>
    <row r="61" spans="1:7" x14ac:dyDescent="0.25">
      <c r="A61" s="3">
        <f>'FRED Graph'!A283</f>
        <v>41821</v>
      </c>
      <c r="B61" s="2">
        <v>16094.5</v>
      </c>
      <c r="C61" s="2">
        <v>16433.7</v>
      </c>
      <c r="D61">
        <v>16068.8</v>
      </c>
      <c r="E61">
        <v>16645.8</v>
      </c>
      <c r="F61">
        <f>'FRED Graph'!B283</f>
        <v>16150.6</v>
      </c>
      <c r="G61">
        <f>'FRED Graph'!C283</f>
        <v>16734.5</v>
      </c>
    </row>
    <row r="62" spans="1:7" x14ac:dyDescent="0.25">
      <c r="A62" s="3">
        <f>'FRED Graph'!A284</f>
        <v>41913</v>
      </c>
      <c r="B62" s="2">
        <v>16186.7</v>
      </c>
      <c r="C62" s="2">
        <v>16500.099999999999</v>
      </c>
      <c r="D62">
        <v>16151.4</v>
      </c>
      <c r="E62">
        <v>16712</v>
      </c>
      <c r="G62">
        <f>'FRED Graph'!C284</f>
        <v>16805.8</v>
      </c>
    </row>
    <row r="63" spans="1:7" x14ac:dyDescent="0.25">
      <c r="A63" s="3">
        <f>'FRED Graph'!A285</f>
        <v>42005</v>
      </c>
      <c r="B63" s="2">
        <v>16269</v>
      </c>
      <c r="C63" s="2">
        <v>16567.099999999999</v>
      </c>
      <c r="D63">
        <v>16177.3</v>
      </c>
      <c r="E63">
        <v>16781.7</v>
      </c>
      <c r="G63">
        <f>'FRED Graph'!C285</f>
        <v>16880.599999999999</v>
      </c>
    </row>
    <row r="64" spans="1:7" x14ac:dyDescent="0.25">
      <c r="A64" s="3">
        <f>'FRED Graph'!A286</f>
        <v>42095</v>
      </c>
      <c r="B64" s="2">
        <v>16374.2</v>
      </c>
      <c r="C64" s="2">
        <v>16633.900000000001</v>
      </c>
      <c r="D64">
        <v>16333.6</v>
      </c>
      <c r="E64">
        <v>16853.099999999999</v>
      </c>
      <c r="G64">
        <f>'FRED Graph'!C286</f>
        <v>16958.400000000001</v>
      </c>
    </row>
    <row r="65" spans="1:7" x14ac:dyDescent="0.25">
      <c r="A65" s="3">
        <f>'FRED Graph'!A287</f>
        <v>42186</v>
      </c>
      <c r="B65" s="2">
        <v>16454.900000000001</v>
      </c>
      <c r="C65" s="2">
        <v>16700.599999999999</v>
      </c>
      <c r="D65">
        <v>16394.2</v>
      </c>
      <c r="E65">
        <v>16926.5</v>
      </c>
      <c r="G65">
        <f>'FRED Graph'!C287</f>
        <v>17038.900000000001</v>
      </c>
    </row>
    <row r="66" spans="1:7" x14ac:dyDescent="0.25">
      <c r="A66" s="3">
        <f>'FRED Graph'!A288</f>
        <v>42278</v>
      </c>
      <c r="B66" s="2">
        <v>16490.7</v>
      </c>
      <c r="C66" s="2">
        <v>16767</v>
      </c>
      <c r="E66">
        <v>17001.8</v>
      </c>
      <c r="G66">
        <f>'FRED Graph'!C288</f>
        <v>17122.099999999999</v>
      </c>
    </row>
    <row r="67" spans="1:7" x14ac:dyDescent="0.25">
      <c r="A67" s="3">
        <f>'FRED Graph'!A289</f>
        <v>42370</v>
      </c>
      <c r="B67" s="2">
        <v>16525</v>
      </c>
      <c r="C67" s="2">
        <v>16832.400000000001</v>
      </c>
      <c r="E67">
        <v>17078.599999999999</v>
      </c>
      <c r="G67">
        <f>'FRED Graph'!C289</f>
        <v>17208.099999999999</v>
      </c>
    </row>
    <row r="68" spans="1:7" x14ac:dyDescent="0.25">
      <c r="A68" s="3">
        <f>'FRED Graph'!A290</f>
        <v>42461</v>
      </c>
      <c r="B68" s="2">
        <v>16583.099999999999</v>
      </c>
      <c r="C68" s="2">
        <v>16896.8</v>
      </c>
      <c r="E68">
        <v>17157.599999999999</v>
      </c>
      <c r="G68">
        <f>'FRED Graph'!C290</f>
        <v>17296.7</v>
      </c>
    </row>
    <row r="69" spans="1:7" x14ac:dyDescent="0.25">
      <c r="A69" s="3">
        <f>'FRED Graph'!A291</f>
        <v>42552</v>
      </c>
      <c r="B69" s="2">
        <v>16702.099999999999</v>
      </c>
      <c r="C69" s="2">
        <v>16961.099999999999</v>
      </c>
      <c r="E69">
        <v>17238.900000000001</v>
      </c>
      <c r="G69">
        <f>'FRED Graph'!C291</f>
        <v>17387.599999999999</v>
      </c>
    </row>
    <row r="70" spans="1:7" x14ac:dyDescent="0.25">
      <c r="A70" s="3">
        <f>'FRED Graph'!A292</f>
        <v>42644</v>
      </c>
      <c r="B70"/>
      <c r="C70" s="2">
        <v>17025.599999999999</v>
      </c>
      <c r="E70">
        <v>17322.5</v>
      </c>
      <c r="G70">
        <f>'FRED Graph'!C292</f>
        <v>17480.5</v>
      </c>
    </row>
    <row r="71" spans="1:7" x14ac:dyDescent="0.25">
      <c r="A71" s="3">
        <f>'FRED Graph'!A293</f>
        <v>42736</v>
      </c>
      <c r="B71"/>
      <c r="C71" s="2">
        <v>17090.8</v>
      </c>
      <c r="E71">
        <v>17409.2</v>
      </c>
      <c r="G71">
        <f>'FRED Graph'!C293</f>
        <v>17575</v>
      </c>
    </row>
    <row r="72" spans="1:7" x14ac:dyDescent="0.25">
      <c r="A72" s="3">
        <f>'FRED Graph'!A294</f>
        <v>42826</v>
      </c>
      <c r="B72"/>
      <c r="C72" s="2">
        <v>17156.7</v>
      </c>
      <c r="E72">
        <v>17499</v>
      </c>
      <c r="G72">
        <f>'FRED Graph'!C294</f>
        <v>17671.7</v>
      </c>
    </row>
    <row r="73" spans="1:7" x14ac:dyDescent="0.25">
      <c r="A73" s="3">
        <f>'FRED Graph'!A295</f>
        <v>42917</v>
      </c>
      <c r="B73"/>
      <c r="C73" s="2">
        <v>17223.400000000001</v>
      </c>
      <c r="E73">
        <v>17591</v>
      </c>
      <c r="G73">
        <f>'FRED Graph'!C295</f>
        <v>17770</v>
      </c>
    </row>
    <row r="74" spans="1:7" x14ac:dyDescent="0.25">
      <c r="B74"/>
      <c r="C74" s="2">
        <v>17291.400000000001</v>
      </c>
      <c r="E74">
        <v>17685</v>
      </c>
    </row>
    <row r="75" spans="1:7" x14ac:dyDescent="0.25">
      <c r="B75"/>
      <c r="C75" s="2">
        <v>17361.400000000001</v>
      </c>
      <c r="E75">
        <v>17780.599999999999</v>
      </c>
    </row>
    <row r="76" spans="1:7" x14ac:dyDescent="0.25">
      <c r="B76"/>
      <c r="C76" s="2">
        <v>17432.900000000001</v>
      </c>
      <c r="E76">
        <v>17877.7</v>
      </c>
    </row>
    <row r="77" spans="1:7" x14ac:dyDescent="0.25">
      <c r="B77"/>
      <c r="C77" s="2">
        <v>17505.900000000001</v>
      </c>
      <c r="E77">
        <v>17975.900000000001</v>
      </c>
    </row>
    <row r="78" spans="1:7" x14ac:dyDescent="0.25">
      <c r="B78"/>
      <c r="C78" s="2">
        <v>17580.400000000001</v>
      </c>
      <c r="E78">
        <v>18075.099999999999</v>
      </c>
    </row>
    <row r="79" spans="1:7" x14ac:dyDescent="0.25">
      <c r="B79"/>
      <c r="C79" s="2">
        <v>17656.5</v>
      </c>
      <c r="E79">
        <v>18174.5</v>
      </c>
    </row>
    <row r="80" spans="1:7" x14ac:dyDescent="0.25">
      <c r="B80"/>
      <c r="C80" s="2">
        <v>17734.2</v>
      </c>
      <c r="E80">
        <v>18275</v>
      </c>
    </row>
    <row r="81" spans="5:5" x14ac:dyDescent="0.25">
      <c r="E81">
        <v>18376.099999999999</v>
      </c>
    </row>
    <row r="82" spans="5:5" x14ac:dyDescent="0.25">
      <c r="E82">
        <v>18477.900000000001</v>
      </c>
    </row>
    <row r="83" spans="5:5" x14ac:dyDescent="0.25">
      <c r="E83">
        <v>18580.400000000001</v>
      </c>
    </row>
    <row r="84" spans="5:5" x14ac:dyDescent="0.25">
      <c r="E84">
        <v>18683.400000000001</v>
      </c>
    </row>
    <row r="85" spans="5:5" x14ac:dyDescent="0.25">
      <c r="E85">
        <v>18786.599999999999</v>
      </c>
    </row>
    <row r="86" spans="5:5" x14ac:dyDescent="0.25">
      <c r="E86">
        <v>18890.099999999999</v>
      </c>
    </row>
    <row r="87" spans="5:5" x14ac:dyDescent="0.25">
      <c r="E87">
        <v>18993.400000000001</v>
      </c>
    </row>
    <row r="88" spans="5:5" x14ac:dyDescent="0.25">
      <c r="E88">
        <v>19096.599999999999</v>
      </c>
    </row>
    <row r="89" spans="5:5" x14ac:dyDescent="0.25">
      <c r="E89">
        <v>19199.900000000001</v>
      </c>
    </row>
    <row r="90" spans="5:5" x14ac:dyDescent="0.25">
      <c r="E90">
        <v>19303.2</v>
      </c>
    </row>
    <row r="91" spans="5:5" x14ac:dyDescent="0.25">
      <c r="E91">
        <v>19406.400000000001</v>
      </c>
    </row>
    <row r="92" spans="5:5" x14ac:dyDescent="0.25">
      <c r="E92">
        <v>19509.599999999999</v>
      </c>
    </row>
    <row r="93" spans="5:5" x14ac:dyDescent="0.25">
      <c r="E93">
        <v>19612.900000000001</v>
      </c>
    </row>
    <row r="94" spans="5:5" x14ac:dyDescent="0.25">
      <c r="E94">
        <v>19716.2</v>
      </c>
    </row>
    <row r="95" spans="5:5" x14ac:dyDescent="0.25">
      <c r="E95">
        <v>19819.599999999999</v>
      </c>
    </row>
    <row r="96" spans="5:5" x14ac:dyDescent="0.25">
      <c r="E96">
        <v>19922.8</v>
      </c>
    </row>
    <row r="97" spans="5:5" x14ac:dyDescent="0.25">
      <c r="E97">
        <v>20026.2</v>
      </c>
    </row>
    <row r="98" spans="5:5" x14ac:dyDescent="0.25">
      <c r="E98">
        <v>20129.8</v>
      </c>
    </row>
    <row r="99" spans="5:5" x14ac:dyDescent="0.25">
      <c r="E99">
        <v>20233.7</v>
      </c>
    </row>
    <row r="100" spans="5:5" x14ac:dyDescent="0.25">
      <c r="E100">
        <v>20338.5</v>
      </c>
    </row>
    <row r="101" spans="5:5" x14ac:dyDescent="0.25">
      <c r="E101">
        <v>20443.7</v>
      </c>
    </row>
    <row r="102" spans="5:5" x14ac:dyDescent="0.25">
      <c r="E102">
        <v>20549.099999999999</v>
      </c>
    </row>
    <row r="103" spans="5:5" x14ac:dyDescent="0.25">
      <c r="E103">
        <v>20654.900000000001</v>
      </c>
    </row>
    <row r="104" spans="5:5" x14ac:dyDescent="0.25">
      <c r="E104">
        <v>20759.900000000001</v>
      </c>
    </row>
    <row r="105" spans="5:5" x14ac:dyDescent="0.25">
      <c r="E105">
        <v>20865</v>
      </c>
    </row>
    <row r="106" spans="5:5" x14ac:dyDescent="0.25">
      <c r="E106">
        <v>20970.2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data 2017 USD</vt:lpstr>
      <vt:lpstr>data 2012 USD</vt:lpstr>
      <vt:lpstr>raw data</vt:lpstr>
      <vt:lpstr>old raw data 2009-2012 USD</vt:lpstr>
      <vt:lpstr>FRED Graph</vt:lpstr>
      <vt:lpstr>graph</vt:lpstr>
      <vt:lpstr>graph 2</vt:lpstr>
      <vt:lpstr>deflator_2012_2009</vt:lpstr>
      <vt:lpstr>deflator_2017_2009</vt:lpstr>
      <vt:lpstr>deflator_2017_2012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</dc:creator>
  <cp:lastModifiedBy>jb4457</cp:lastModifiedBy>
  <dcterms:created xsi:type="dcterms:W3CDTF">2013-03-31T20:05:22Z</dcterms:created>
  <dcterms:modified xsi:type="dcterms:W3CDTF">2025-11-08T18:16:44Z</dcterms:modified>
</cp:coreProperties>
</file>